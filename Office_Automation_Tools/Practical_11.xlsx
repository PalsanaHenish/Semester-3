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E:\OAT\OAT_Practical\"/>
    </mc:Choice>
  </mc:AlternateContent>
  <xr:revisionPtr revIDLastSave="0" documentId="13_ncr:1_{F2F4A761-4F9C-4EDD-AB60-696DE21BE557}" xr6:coauthVersionLast="47" xr6:coauthVersionMax="47" xr10:uidLastSave="{00000000-0000-0000-0000-000000000000}"/>
  <bookViews>
    <workbookView xWindow="-120" yWindow="-120" windowWidth="29040" windowHeight="15720" tabRatio="681" xr2:uid="{00000000-000D-0000-FFFF-FFFF00000000}"/>
  </bookViews>
  <sheets>
    <sheet name="Sheet1" sheetId="1" r:id="rId1"/>
    <sheet name="Sheet2" sheetId="5" r:id="rId2"/>
    <sheet name="Sheet3" sheetId="6" r:id="rId3"/>
  </sheets>
  <definedNames>
    <definedName name="BBA">Sheet2!$B$2:$B$3</definedName>
    <definedName name="CSE">Sheet2!$A$2:$A$3</definedName>
    <definedName name="Slicer_category">#N/A</definedName>
    <definedName name="Slicer_department">#N/A</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8" i="6" l="1"/>
  <c r="J9" i="6"/>
  <c r="J10" i="6"/>
  <c r="J11" i="6"/>
  <c r="J7" i="6"/>
  <c r="I7" i="6"/>
  <c r="I8" i="6"/>
  <c r="I9" i="6"/>
  <c r="I10" i="6"/>
  <c r="I11" i="6"/>
  <c r="B5" i="6"/>
  <c r="F5" i="6" s="1"/>
  <c r="H2" i="1"/>
  <c r="G2" i="1"/>
  <c r="C5" i="6" l="1"/>
  <c r="G5" i="6"/>
  <c r="H5" i="6"/>
  <c r="D5" i="6"/>
  <c r="E5" i="6"/>
</calcChain>
</file>

<file path=xl/sharedStrings.xml><?xml version="1.0" encoding="utf-8"?>
<sst xmlns="http://schemas.openxmlformats.org/spreadsheetml/2006/main" count="119" uniqueCount="69">
  <si>
    <t>id</t>
  </si>
  <si>
    <t>department</t>
  </si>
  <si>
    <t>category</t>
  </si>
  <si>
    <t>product</t>
  </si>
  <si>
    <t>quantity</t>
  </si>
  <si>
    <t>sales</t>
  </si>
  <si>
    <t>Electronics</t>
  </si>
  <si>
    <t>Audio</t>
  </si>
  <si>
    <t>Wireless Headphones</t>
  </si>
  <si>
    <t>Computing</t>
  </si>
  <si>
    <t>Laptop Pro 15"</t>
  </si>
  <si>
    <t>Accessories</t>
  </si>
  <si>
    <t>USB-C Hub</t>
  </si>
  <si>
    <t>Home &amp; Kitchen</t>
  </si>
  <si>
    <t>Cookware</t>
  </si>
  <si>
    <t>Non-Stick Frying Pan</t>
  </si>
  <si>
    <t>Appliances</t>
  </si>
  <si>
    <t>Blender 800W</t>
  </si>
  <si>
    <t>Decor</t>
  </si>
  <si>
    <t>LED Desk Lamp</t>
  </si>
  <si>
    <t>Apparel</t>
  </si>
  <si>
    <t>Footwear</t>
  </si>
  <si>
    <t>Running Shoes</t>
  </si>
  <si>
    <t>Outerwear</t>
  </si>
  <si>
    <t>Waterproof Jacket</t>
  </si>
  <si>
    <t>Casual</t>
  </si>
  <si>
    <t>Cotton T-Shirt</t>
  </si>
  <si>
    <t>Sports &amp; Outdoors</t>
  </si>
  <si>
    <t>Fitness</t>
  </si>
  <si>
    <t>Yoga Mat</t>
  </si>
  <si>
    <t>Cycling</t>
  </si>
  <si>
    <t>Water Bottle</t>
  </si>
  <si>
    <t>Camping</t>
  </si>
  <si>
    <t>4-Person Tent</t>
  </si>
  <si>
    <t>Office Supplies</t>
  </si>
  <si>
    <t>Stationery</t>
  </si>
  <si>
    <t>Notebook (Pack of 5)</t>
  </si>
  <si>
    <t>Furniture</t>
  </si>
  <si>
    <t>Ergonomic Office Chair</t>
  </si>
  <si>
    <t>Writing</t>
  </si>
  <si>
    <t>Gel Pens (Box of 12)</t>
  </si>
  <si>
    <t>Row Labels</t>
  </si>
  <si>
    <t>Grand Total</t>
  </si>
  <si>
    <t>Sum of sales</t>
  </si>
  <si>
    <t>INDEX/MATCH</t>
  </si>
  <si>
    <t>Goal Seek</t>
  </si>
  <si>
    <t>CSE</t>
  </si>
  <si>
    <t>BBA</t>
  </si>
  <si>
    <t>finance</t>
  </si>
  <si>
    <t>marketing</t>
  </si>
  <si>
    <t>C</t>
  </si>
  <si>
    <t>java</t>
  </si>
  <si>
    <t>Dhairyaaa</t>
  </si>
  <si>
    <t>DAY</t>
  </si>
  <si>
    <t>YEAR</t>
  </si>
  <si>
    <t>MONTH</t>
  </si>
  <si>
    <t>SUN</t>
  </si>
  <si>
    <t>MON</t>
  </si>
  <si>
    <t>TUE</t>
  </si>
  <si>
    <t>WED</t>
  </si>
  <si>
    <t>THU</t>
  </si>
  <si>
    <t>FRI</t>
  </si>
  <si>
    <t>SAT</t>
  </si>
  <si>
    <t>DATE</t>
  </si>
  <si>
    <t>ROLL NO.</t>
  </si>
  <si>
    <t>P</t>
  </si>
  <si>
    <t>AB</t>
  </si>
  <si>
    <t>PRESENT</t>
  </si>
  <si>
    <t>ABSENT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</si>
</sst>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1F1F1F"/>
      <name val="Arial"/>
      <family val="2"/>
    </font>
    <font>
      <b/>
      <sz val="11"/>
      <color rgb="FF1F1F1F"/>
      <name val="Arial"/>
      <family val="2"/>
    </font>
    <font>
      <b/>
      <sz val="12"/>
      <color theme="1"/>
      <name val="Calibri"/>
      <family val="2"/>
      <scheme val="minor"/>
    </font>
    <font>
      <sz val="8"/>
      <name val="Calibri"/>
      <family val="2"/>
      <scheme val="minor"/>
    </font>
    <font>
      <sz val="11"/>
      <color theme="0"/>
      <name val="Calibri"/>
      <family val="2"/>
      <scheme val="minor"/>
    </font>
  </fonts>
  <fills count="4">
    <fill>
      <patternFill patternType="none"/>
    </fill>
    <fill>
      <patternFill patternType="gray125"/>
    </fill>
    <fill>
      <patternFill patternType="solid">
        <fgColor theme="7"/>
      </patternFill>
    </fill>
    <fill>
      <patternFill patternType="solid">
        <fgColor theme="9"/>
      </patternFill>
    </fill>
  </fills>
  <borders count="4">
    <border>
      <left/>
      <right/>
      <top/>
      <bottom/>
      <diagonal/>
    </border>
    <border>
      <left style="medium">
        <color rgb="FFC4C7C5"/>
      </left>
      <right style="medium">
        <color rgb="FFC4C7C5"/>
      </right>
      <top style="medium">
        <color rgb="FFC4C7C5"/>
      </top>
      <bottom style="medium">
        <color rgb="FFC4C7C5"/>
      </bottom>
      <diagonal/>
    </border>
    <border>
      <left style="medium">
        <color rgb="FFC4C7C5"/>
      </left>
      <right style="medium">
        <color rgb="FFC4C7C5"/>
      </right>
      <top/>
      <bottom/>
      <diagonal/>
    </border>
    <border>
      <left style="thin">
        <color auto="1"/>
      </left>
      <right style="thin">
        <color auto="1"/>
      </right>
      <top style="thin">
        <color auto="1"/>
      </top>
      <bottom style="thin">
        <color auto="1"/>
      </bottom>
      <diagonal/>
    </border>
  </borders>
  <cellStyleXfs count="3">
    <xf numFmtId="0" fontId="0" fillId="0" borderId="0"/>
    <xf numFmtId="0" fontId="5" fillId="2" borderId="0" applyNumberFormat="0" applyBorder="0" applyAlignment="0" applyProtection="0"/>
    <xf numFmtId="0" fontId="5" fillId="3" borderId="0" applyNumberFormat="0" applyBorder="0" applyAlignment="0" applyProtection="0"/>
  </cellStyleXfs>
  <cellXfs count="13">
    <xf numFmtId="0" fontId="0" fillId="0" borderId="0" xfId="0"/>
    <xf numFmtId="0" fontId="2" fillId="0" borderId="1" xfId="0" applyFont="1" applyBorder="1" applyAlignment="1">
      <alignment horizontal="left" vertical="center" indent="1" readingOrder="1"/>
    </xf>
    <xf numFmtId="0" fontId="1" fillId="0" borderId="1" xfId="0" applyFont="1" applyBorder="1" applyAlignment="1">
      <alignment horizontal="left" vertical="center" indent="1" readingOrder="1"/>
    </xf>
    <xf numFmtId="0" fontId="0" fillId="0" borderId="0" xfId="0" pivotButton="1"/>
    <xf numFmtId="0" fontId="0" fillId="0" borderId="0" xfId="0" applyAlignment="1">
      <alignment horizontal="left"/>
    </xf>
    <xf numFmtId="0" fontId="2" fillId="0" borderId="2" xfId="0" applyFont="1" applyBorder="1" applyAlignment="1">
      <alignment horizontal="left" vertical="center" indent="1" readingOrder="1"/>
    </xf>
    <xf numFmtId="0" fontId="2" fillId="0" borderId="0" xfId="0" applyFont="1" applyAlignment="1">
      <alignment horizontal="left" vertical="center" indent="1" readingOrder="1"/>
    </xf>
    <xf numFmtId="0" fontId="3" fillId="0" borderId="0" xfId="0" applyFont="1"/>
    <xf numFmtId="0" fontId="0" fillId="0" borderId="0" xfId="0" applyAlignment="1">
      <alignment horizontal="center" vertical="center"/>
    </xf>
    <xf numFmtId="0" fontId="0" fillId="0" borderId="3" xfId="0" applyBorder="1" applyAlignment="1">
      <alignment horizontal="center" vertical="center"/>
    </xf>
    <xf numFmtId="14" fontId="0" fillId="0" borderId="3" xfId="0" applyNumberFormat="1" applyBorder="1" applyAlignment="1">
      <alignment horizontal="center" vertical="center"/>
    </xf>
    <xf numFmtId="0" fontId="5" fillId="2" borderId="3" xfId="1" applyBorder="1" applyAlignment="1">
      <alignment horizontal="center"/>
    </xf>
    <xf numFmtId="0" fontId="5" fillId="3" borderId="3" xfId="2" applyBorder="1" applyAlignment="1">
      <alignment horizontal="center" vertical="center"/>
    </xf>
  </cellXfs>
  <cellStyles count="3">
    <cellStyle name="Accent4" xfId="1" builtinId="41"/>
    <cellStyle name="Accent6" xfId="2" builtinId="49"/>
    <cellStyle name="Normal" xfId="0" builtinId="0"/>
  </cellStyles>
  <dxfs count="3">
    <dxf>
      <font>
        <color rgb="FF006100"/>
      </font>
      <fill>
        <patternFill>
          <bgColor rgb="FFC6EFCE"/>
        </patternFill>
      </fill>
    </dxf>
    <dxf>
      <font>
        <color rgb="FF9C0006"/>
      </font>
      <fill>
        <patternFill>
          <bgColor rgb="FFFFC7CE"/>
        </patternFill>
      </fill>
    </dxf>
    <dxf>
      <border>
        <left style="thin">
          <color auto="1"/>
        </left>
        <right style="thin">
          <color auto="1"/>
        </right>
        <top style="thin">
          <color auto="1"/>
        </top>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[Practical_11_108(advanced task).xlsx]Sheet1!PivotTable2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Sheet1!$L$4</c:f>
              <c:strCache>
                <c:ptCount val="1"/>
                <c:pt idx="0">
                  <c:v>Total</c:v>
                </c:pt>
              </c:strCache>
            </c:strRef>
          </c:tx>
          <c:spPr>
            <a:solidFill>
              <a:schemeClr val="accent1"/>
            </a:solidFill>
            <a:ln>
              <a:noFill/>
            </a:ln>
            <a:effectLst/>
          </c:spPr>
          <c:invertIfNegative val="0"/>
          <c:cat>
            <c:strRef>
              <c:f>Sheet1!$K$5:$K$10</c:f>
              <c:strCache>
                <c:ptCount val="5"/>
                <c:pt idx="0">
                  <c:v>Apparel</c:v>
                </c:pt>
                <c:pt idx="1">
                  <c:v>Electronics</c:v>
                </c:pt>
                <c:pt idx="2">
                  <c:v>Home &amp; Kitchen</c:v>
                </c:pt>
                <c:pt idx="3">
                  <c:v>Office Supplies</c:v>
                </c:pt>
                <c:pt idx="4">
                  <c:v>Sports &amp; Outdoors</c:v>
                </c:pt>
              </c:strCache>
            </c:strRef>
          </c:cat>
          <c:val>
            <c:numRef>
              <c:f>Sheet1!$L$5:$L$10</c:f>
              <c:numCache>
                <c:formatCode>General</c:formatCode>
                <c:ptCount val="5"/>
                <c:pt idx="0">
                  <c:v>3174.71</c:v>
                </c:pt>
                <c:pt idx="1">
                  <c:v>9042.380000000001</c:v>
                </c:pt>
                <c:pt idx="2">
                  <c:v>1679.6</c:v>
                </c:pt>
                <c:pt idx="3">
                  <c:v>6256.3499999999913</c:v>
                </c:pt>
                <c:pt idx="4">
                  <c:v>2346.96</c:v>
                </c:pt>
              </c:numCache>
            </c:numRef>
          </c:val>
          <c:extLst>
            <c:ext xmlns:c16="http://schemas.microsoft.com/office/drawing/2014/chart" uri="{C3380CC4-5D6E-409C-BE32-E72D297353CC}">
              <c16:uniqueId val="{00000002-D2B1-4A85-9D48-BBD46C9E4D6A}"/>
            </c:ext>
          </c:extLst>
        </c:ser>
        <c:dLbls>
          <c:showLegendKey val="0"/>
          <c:showVal val="0"/>
          <c:showCatName val="0"/>
          <c:showSerName val="0"/>
          <c:showPercent val="0"/>
          <c:showBubbleSize val="0"/>
        </c:dLbls>
        <c:gapWidth val="219"/>
        <c:overlap val="-27"/>
        <c:axId val="1942085296"/>
        <c:axId val="1942081456"/>
      </c:barChart>
      <c:catAx>
        <c:axId val="194208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081456"/>
        <c:crosses val="autoZero"/>
        <c:auto val="1"/>
        <c:lblAlgn val="ctr"/>
        <c:lblOffset val="100"/>
        <c:noMultiLvlLbl val="0"/>
      </c:catAx>
      <c:valAx>
        <c:axId val="1942081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085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400049</xdr:colOff>
      <xdr:row>11</xdr:row>
      <xdr:rowOff>14287</xdr:rowOff>
    </xdr:from>
    <xdr:to>
      <xdr:col>14</xdr:col>
      <xdr:colOff>342899</xdr:colOff>
      <xdr:row>28</xdr:row>
      <xdr:rowOff>9526</xdr:rowOff>
    </xdr:to>
    <xdr:graphicFrame macro="">
      <xdr:nvGraphicFramePr>
        <xdr:cNvPr id="2" name="Chart 1">
          <a:extLst>
            <a:ext uri="{FF2B5EF4-FFF2-40B4-BE49-F238E27FC236}">
              <a16:creationId xmlns:a16="http://schemas.microsoft.com/office/drawing/2014/main" id="{C14812E3-DD43-6BAB-D570-5EC0AD2137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571500</xdr:colOff>
      <xdr:row>1</xdr:row>
      <xdr:rowOff>190500</xdr:rowOff>
    </xdr:from>
    <xdr:to>
      <xdr:col>17</xdr:col>
      <xdr:colOff>571500</xdr:colOff>
      <xdr:row>14</xdr:row>
      <xdr:rowOff>114300</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C122414D-540C-8F7F-8F49-3AC387B8820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629900" y="3905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85725</xdr:colOff>
      <xdr:row>2</xdr:row>
      <xdr:rowOff>0</xdr:rowOff>
    </xdr:from>
    <xdr:to>
      <xdr:col>21</xdr:col>
      <xdr:colOff>85725</xdr:colOff>
      <xdr:row>14</xdr:row>
      <xdr:rowOff>123825</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81248896-1F4F-9EF8-5052-3B1CBB1A950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582525" y="400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udent" refreshedDate="46253.440044907409" createdVersion="8" refreshedVersion="8" minRefreshableVersion="3" recordCount="15" xr:uid="{7B939C8B-9991-404E-ACE1-C16AAC927C6D}">
  <cacheSource type="worksheet">
    <worksheetSource ref="A1:F16" sheet="Sheet1"/>
  </cacheSource>
  <cacheFields count="6">
    <cacheField name="id" numFmtId="0">
      <sharedItems containsSemiMixedTypes="0" containsString="0" containsNumber="1" containsInteger="1" minValue="1" maxValue="15"/>
    </cacheField>
    <cacheField name="department" numFmtId="0">
      <sharedItems count="5">
        <s v="Electronics"/>
        <s v="Home &amp; Kitchen"/>
        <s v="Apparel"/>
        <s v="Sports &amp; Outdoors"/>
        <s v="Office Supplies"/>
      </sharedItems>
    </cacheField>
    <cacheField name="category" numFmtId="0">
      <sharedItems count="15">
        <s v="Audio"/>
        <s v="Computing"/>
        <s v="Accessories"/>
        <s v="Cookware"/>
        <s v="Appliances"/>
        <s v="Decor"/>
        <s v="Footwear"/>
        <s v="Outerwear"/>
        <s v="Casual"/>
        <s v="Fitness"/>
        <s v="Cycling"/>
        <s v="Camping"/>
        <s v="Stationery"/>
        <s v="Furniture"/>
        <s v="Writing"/>
      </sharedItems>
    </cacheField>
    <cacheField name="product" numFmtId="0">
      <sharedItems/>
    </cacheField>
    <cacheField name="quantity" numFmtId="0">
      <sharedItems containsSemiMixedTypes="0" containsString="0" containsNumber="1" containsInteger="1" minValue="4" maxValue="60"/>
    </cacheField>
    <cacheField name="sales" numFmtId="0">
      <sharedItems containsSemiMixedTypes="0" containsString="0" containsNumber="1" minValue="419.86" maxValue="6495"/>
    </cacheField>
  </cacheFields>
  <extLst>
    <ext xmlns:x14="http://schemas.microsoft.com/office/spreadsheetml/2009/9/main" uri="{725AE2AE-9491-48be-B2B4-4EB974FC3084}">
      <x14:pivotCacheDefinition pivotCacheId="9068312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n v="1"/>
    <x v="0"/>
    <x v="0"/>
    <s v="Wireless Headphones"/>
    <n v="12"/>
    <n v="1799.88"/>
  </r>
  <r>
    <n v="2"/>
    <x v="0"/>
    <x v="1"/>
    <s v="Laptop Pro 15&quot;"/>
    <n v="5"/>
    <n v="6495"/>
  </r>
  <r>
    <n v="3"/>
    <x v="0"/>
    <x v="2"/>
    <s v="USB-C Hub"/>
    <n v="25"/>
    <n v="747.5"/>
  </r>
  <r>
    <n v="4"/>
    <x v="1"/>
    <x v="3"/>
    <s v="Non-Stick Frying Pan"/>
    <n v="18"/>
    <n v="539.82000000000005"/>
  </r>
  <r>
    <n v="5"/>
    <x v="1"/>
    <x v="4"/>
    <s v="Blender 800W"/>
    <n v="8"/>
    <n v="719.92"/>
  </r>
  <r>
    <n v="6"/>
    <x v="1"/>
    <x v="5"/>
    <s v="LED Desk Lamp"/>
    <n v="14"/>
    <n v="419.86"/>
  </r>
  <r>
    <n v="7"/>
    <x v="2"/>
    <x v="6"/>
    <s v="Running Shoes"/>
    <n v="20"/>
    <n v="1599.8"/>
  </r>
  <r>
    <n v="8"/>
    <x v="2"/>
    <x v="7"/>
    <s v="Waterproof Jacket"/>
    <n v="9"/>
    <n v="899.91"/>
  </r>
  <r>
    <n v="9"/>
    <x v="2"/>
    <x v="8"/>
    <s v="Cotton T-Shirt"/>
    <n v="45"/>
    <n v="675"/>
  </r>
  <r>
    <n v="10"/>
    <x v="3"/>
    <x v="9"/>
    <s v="Yoga Mat"/>
    <n v="30"/>
    <n v="597"/>
  </r>
  <r>
    <n v="11"/>
    <x v="3"/>
    <x v="10"/>
    <s v="Water Bottle"/>
    <n v="50"/>
    <n v="750"/>
  </r>
  <r>
    <n v="12"/>
    <x v="3"/>
    <x v="11"/>
    <s v="4-Person Tent"/>
    <n v="4"/>
    <n v="999.96"/>
  </r>
  <r>
    <n v="13"/>
    <x v="4"/>
    <x v="12"/>
    <s v="Notebook (Pack of 5)"/>
    <n v="60"/>
    <n v="450"/>
  </r>
  <r>
    <n v="14"/>
    <x v="4"/>
    <x v="13"/>
    <s v="Ergonomic Office Chair"/>
    <n v="7"/>
    <n v="1399.93"/>
  </r>
  <r>
    <n v="15"/>
    <x v="4"/>
    <x v="14"/>
    <s v="Gel Pens (Box of 12)"/>
    <n v="40"/>
    <n v="4406.4199999999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74E699-3F5B-49F4-ADEC-DBA504647BA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K4:L10" firstHeaderRow="1" firstDataRow="1" firstDataCol="1"/>
  <pivotFields count="6">
    <pivotField showAll="0"/>
    <pivotField axis="axisRow" showAll="0">
      <items count="6">
        <item x="2"/>
        <item x="0"/>
        <item x="1"/>
        <item x="4"/>
        <item x="3"/>
        <item t="default"/>
      </items>
    </pivotField>
    <pivotField showAll="0">
      <items count="16">
        <item x="2"/>
        <item x="4"/>
        <item x="0"/>
        <item x="11"/>
        <item x="8"/>
        <item x="1"/>
        <item x="3"/>
        <item x="10"/>
        <item x="5"/>
        <item x="9"/>
        <item x="6"/>
        <item x="13"/>
        <item x="7"/>
        <item x="12"/>
        <item x="14"/>
        <item t="default"/>
      </items>
    </pivotField>
    <pivotField showAll="0"/>
    <pivotField showAll="0"/>
    <pivotField dataField="1" showAll="0"/>
  </pivotFields>
  <rowFields count="1">
    <field x="1"/>
  </rowFields>
  <rowItems count="6">
    <i>
      <x/>
    </i>
    <i>
      <x v="1"/>
    </i>
    <i>
      <x v="2"/>
    </i>
    <i>
      <x v="3"/>
    </i>
    <i>
      <x v="4"/>
    </i>
    <i t="grand">
      <x/>
    </i>
  </rowItems>
  <colItems count="1">
    <i/>
  </colItems>
  <dataFields count="1">
    <dataField name="Sum of sales" fld="5" baseField="1" baseItem="4"/>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F14821E-F241-4BA8-BDDE-06DF8F43E784}" sourceName="department">
  <pivotTables>
    <pivotTable tabId="1" name="PivotTable2"/>
  </pivotTables>
  <data>
    <tabular pivotCacheId="906831251">
      <items count="5">
        <i x="2" s="1"/>
        <i x="0" s="1"/>
        <i x="1"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AA29F05-3FFE-4FED-B925-3E72F4AA18A3}" sourceName="category">
  <pivotTables>
    <pivotTable tabId="1" name="PivotTable2"/>
  </pivotTables>
  <data>
    <tabular pivotCacheId="906831251">
      <items count="15">
        <i x="2" s="1"/>
        <i x="4" s="1"/>
        <i x="0" s="1"/>
        <i x="11" s="1"/>
        <i x="8" s="1"/>
        <i x="1" s="1"/>
        <i x="3" s="1"/>
        <i x="10" s="1"/>
        <i x="5" s="1"/>
        <i x="9" s="1"/>
        <i x="6" s="1"/>
        <i x="13" s="1"/>
        <i x="7" s="1"/>
        <i x="12" s="1"/>
        <i x="1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58DF603B-39AC-49FC-A4EC-0FDB5212A622}" cache="Slicer_department" caption="department" rowHeight="241300"/>
  <slicer name="category" xr10:uid="{0F11CF13-9E95-4385-AFDD-4771100D3BA9}" cache="Slicer_category" caption="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16"/>
  <sheetViews>
    <sheetView tabSelected="1" workbookViewId="0">
      <selection sqref="A1:F16"/>
    </sheetView>
  </sheetViews>
  <sheetFormatPr defaultRowHeight="15" x14ac:dyDescent="0.25"/>
  <cols>
    <col min="1" max="1" width="4.5703125" bestFit="1" customWidth="1"/>
    <col min="2" max="2" width="20" bestFit="1" customWidth="1"/>
    <col min="3" max="3" width="14" bestFit="1" customWidth="1"/>
    <col min="4" max="4" width="24.5703125" bestFit="1" customWidth="1"/>
    <col min="5" max="6" width="10.28515625" bestFit="1" customWidth="1"/>
    <col min="7" max="7" width="17.42578125" bestFit="1" customWidth="1"/>
    <col min="8" max="8" width="12.7109375" bestFit="1" customWidth="1"/>
    <col min="9" max="9" width="18.42578125" customWidth="1"/>
    <col min="11" max="11" width="17.42578125" bestFit="1" customWidth="1"/>
    <col min="12" max="12" width="12" bestFit="1" customWidth="1"/>
  </cols>
  <sheetData>
    <row r="1" spans="1:12" ht="15.75" thickBot="1" x14ac:dyDescent="0.3">
      <c r="A1" s="1" t="s">
        <v>0</v>
      </c>
      <c r="B1" s="1" t="s">
        <v>1</v>
      </c>
      <c r="C1" s="1" t="s">
        <v>2</v>
      </c>
      <c r="D1" s="1" t="s">
        <v>3</v>
      </c>
      <c r="E1" s="1" t="s">
        <v>4</v>
      </c>
      <c r="F1" s="1" t="s">
        <v>5</v>
      </c>
      <c r="G1" s="5" t="s">
        <v>44</v>
      </c>
      <c r="H1" s="6" t="s">
        <v>45</v>
      </c>
      <c r="I1" s="6"/>
    </row>
    <row r="2" spans="1:12" ht="15.75" thickBot="1" x14ac:dyDescent="0.3">
      <c r="A2" s="2">
        <v>1</v>
      </c>
      <c r="B2" s="2" t="s">
        <v>6</v>
      </c>
      <c r="C2" s="2" t="s">
        <v>7</v>
      </c>
      <c r="D2" s="2" t="s">
        <v>8</v>
      </c>
      <c r="E2" s="2">
        <v>12</v>
      </c>
      <c r="F2" s="2">
        <v>1799.88</v>
      </c>
      <c r="G2" t="str">
        <f>INDEX(D2:D16,MATCH(A10,A2:A16,0))</f>
        <v>Cotton T-Shirt</v>
      </c>
      <c r="H2">
        <f>AVERAGE(F2:F16)</f>
        <v>1499.9999999999995</v>
      </c>
    </row>
    <row r="3" spans="1:12" ht="15.75" thickBot="1" x14ac:dyDescent="0.3">
      <c r="A3" s="2">
        <v>2</v>
      </c>
      <c r="B3" s="2" t="s">
        <v>6</v>
      </c>
      <c r="C3" s="2" t="s">
        <v>9</v>
      </c>
      <c r="D3" s="2" t="s">
        <v>10</v>
      </c>
      <c r="E3" s="2">
        <v>5</v>
      </c>
      <c r="F3" s="2">
        <v>6495</v>
      </c>
    </row>
    <row r="4" spans="1:12" ht="15.75" thickBot="1" x14ac:dyDescent="0.3">
      <c r="A4" s="2">
        <v>3</v>
      </c>
      <c r="B4" s="2" t="s">
        <v>6</v>
      </c>
      <c r="C4" s="2" t="s">
        <v>11</v>
      </c>
      <c r="D4" s="2" t="s">
        <v>12</v>
      </c>
      <c r="E4" s="2">
        <v>25</v>
      </c>
      <c r="F4" s="2">
        <v>747.5</v>
      </c>
      <c r="K4" s="3" t="s">
        <v>41</v>
      </c>
      <c r="L4" t="s">
        <v>43</v>
      </c>
    </row>
    <row r="5" spans="1:12" ht="15.75" thickBot="1" x14ac:dyDescent="0.3">
      <c r="A5" s="2">
        <v>4</v>
      </c>
      <c r="B5" s="2" t="s">
        <v>13</v>
      </c>
      <c r="C5" s="2" t="s">
        <v>14</v>
      </c>
      <c r="D5" s="2" t="s">
        <v>15</v>
      </c>
      <c r="E5" s="2">
        <v>18</v>
      </c>
      <c r="F5" s="2">
        <v>539.82000000000005</v>
      </c>
      <c r="K5" s="4" t="s">
        <v>20</v>
      </c>
      <c r="L5">
        <v>3174.71</v>
      </c>
    </row>
    <row r="6" spans="1:12" ht="15.75" thickBot="1" x14ac:dyDescent="0.3">
      <c r="A6" s="2">
        <v>5</v>
      </c>
      <c r="B6" s="2" t="s">
        <v>13</v>
      </c>
      <c r="C6" s="2" t="s">
        <v>16</v>
      </c>
      <c r="D6" s="2" t="s">
        <v>17</v>
      </c>
      <c r="E6" s="2">
        <v>8</v>
      </c>
      <c r="F6" s="2">
        <v>719.92</v>
      </c>
      <c r="K6" s="4" t="s">
        <v>6</v>
      </c>
      <c r="L6">
        <v>9042.380000000001</v>
      </c>
    </row>
    <row r="7" spans="1:12" ht="15.75" thickBot="1" x14ac:dyDescent="0.3">
      <c r="A7" s="2">
        <v>6</v>
      </c>
      <c r="B7" s="2" t="s">
        <v>13</v>
      </c>
      <c r="C7" s="2" t="s">
        <v>18</v>
      </c>
      <c r="D7" s="2" t="s">
        <v>19</v>
      </c>
      <c r="E7" s="2">
        <v>14</v>
      </c>
      <c r="F7" s="2">
        <v>419.86</v>
      </c>
      <c r="K7" s="4" t="s">
        <v>13</v>
      </c>
      <c r="L7">
        <v>1679.6</v>
      </c>
    </row>
    <row r="8" spans="1:12" ht="15.75" thickBot="1" x14ac:dyDescent="0.3">
      <c r="A8" s="2">
        <v>7</v>
      </c>
      <c r="B8" s="2" t="s">
        <v>20</v>
      </c>
      <c r="C8" s="2" t="s">
        <v>21</v>
      </c>
      <c r="D8" s="2" t="s">
        <v>22</v>
      </c>
      <c r="E8" s="2">
        <v>20</v>
      </c>
      <c r="F8" s="2">
        <v>1599.8</v>
      </c>
      <c r="K8" s="4" t="s">
        <v>34</v>
      </c>
      <c r="L8">
        <v>6256.3499999999913</v>
      </c>
    </row>
    <row r="9" spans="1:12" ht="15.75" thickBot="1" x14ac:dyDescent="0.3">
      <c r="A9" s="2">
        <v>8</v>
      </c>
      <c r="B9" s="2" t="s">
        <v>20</v>
      </c>
      <c r="C9" s="2" t="s">
        <v>23</v>
      </c>
      <c r="D9" s="2" t="s">
        <v>24</v>
      </c>
      <c r="E9" s="2">
        <v>9</v>
      </c>
      <c r="F9" s="2">
        <v>899.91</v>
      </c>
      <c r="K9" s="4" t="s">
        <v>27</v>
      </c>
      <c r="L9">
        <v>2346.96</v>
      </c>
    </row>
    <row r="10" spans="1:12" ht="15.75" thickBot="1" x14ac:dyDescent="0.3">
      <c r="A10" s="2">
        <v>9</v>
      </c>
      <c r="B10" s="2" t="s">
        <v>20</v>
      </c>
      <c r="C10" s="2" t="s">
        <v>25</v>
      </c>
      <c r="D10" s="2" t="s">
        <v>26</v>
      </c>
      <c r="E10" s="2">
        <v>45</v>
      </c>
      <c r="F10" s="2">
        <v>675</v>
      </c>
      <c r="K10" s="4" t="s">
        <v>42</v>
      </c>
      <c r="L10">
        <v>22499.999999999993</v>
      </c>
    </row>
    <row r="11" spans="1:12" ht="15.75" thickBot="1" x14ac:dyDescent="0.3">
      <c r="A11" s="2">
        <v>10</v>
      </c>
      <c r="B11" s="2" t="s">
        <v>27</v>
      </c>
      <c r="C11" s="2" t="s">
        <v>28</v>
      </c>
      <c r="D11" s="2" t="s">
        <v>29</v>
      </c>
      <c r="E11" s="2">
        <v>30</v>
      </c>
      <c r="F11" s="2">
        <v>597</v>
      </c>
    </row>
    <row r="12" spans="1:12" ht="15.75" thickBot="1" x14ac:dyDescent="0.3">
      <c r="A12" s="2">
        <v>11</v>
      </c>
      <c r="B12" s="2" t="s">
        <v>27</v>
      </c>
      <c r="C12" s="2" t="s">
        <v>30</v>
      </c>
      <c r="D12" s="2" t="s">
        <v>31</v>
      </c>
      <c r="E12" s="2">
        <v>50</v>
      </c>
      <c r="F12" s="2">
        <v>750</v>
      </c>
    </row>
    <row r="13" spans="1:12" ht="15.75" thickBot="1" x14ac:dyDescent="0.3">
      <c r="A13" s="2">
        <v>12</v>
      </c>
      <c r="B13" s="2" t="s">
        <v>27</v>
      </c>
      <c r="C13" s="2" t="s">
        <v>32</v>
      </c>
      <c r="D13" s="2" t="s">
        <v>33</v>
      </c>
      <c r="E13" s="2">
        <v>4</v>
      </c>
      <c r="F13" s="2">
        <v>999.96</v>
      </c>
    </row>
    <row r="14" spans="1:12" ht="15.75" thickBot="1" x14ac:dyDescent="0.3">
      <c r="A14" s="2">
        <v>13</v>
      </c>
      <c r="B14" s="2" t="s">
        <v>34</v>
      </c>
      <c r="C14" s="2" t="s">
        <v>35</v>
      </c>
      <c r="D14" s="2" t="s">
        <v>36</v>
      </c>
      <c r="E14" s="2">
        <v>60</v>
      </c>
      <c r="F14" s="2">
        <v>450</v>
      </c>
    </row>
    <row r="15" spans="1:12" ht="15.75" thickBot="1" x14ac:dyDescent="0.3">
      <c r="A15" s="2">
        <v>14</v>
      </c>
      <c r="B15" s="2" t="s">
        <v>34</v>
      </c>
      <c r="C15" s="2" t="s">
        <v>37</v>
      </c>
      <c r="D15" s="2" t="s">
        <v>38</v>
      </c>
      <c r="E15" s="2">
        <v>7</v>
      </c>
      <c r="F15" s="2">
        <v>1399.93</v>
      </c>
    </row>
    <row r="16" spans="1:12" ht="15.75" thickBot="1" x14ac:dyDescent="0.3">
      <c r="A16" s="2">
        <v>15</v>
      </c>
      <c r="B16" s="2" t="s">
        <v>34</v>
      </c>
      <c r="C16" s="2" t="s">
        <v>39</v>
      </c>
      <c r="D16" s="2" t="s">
        <v>40</v>
      </c>
      <c r="E16" s="2">
        <v>40</v>
      </c>
      <c r="F16" s="2">
        <v>4406.419999999991</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E4452-3DE0-405B-836D-3C821E4D74E4}">
  <sheetPr codeName="Sheet2"/>
  <dimension ref="A1:E5"/>
  <sheetViews>
    <sheetView workbookViewId="0">
      <selection activeCell="D13" sqref="D13"/>
    </sheetView>
  </sheetViews>
  <sheetFormatPr defaultRowHeight="15" x14ac:dyDescent="0.25"/>
  <cols>
    <col min="1" max="1" width="9.7109375" bestFit="1" customWidth="1"/>
    <col min="2" max="2" width="10.42578125" bestFit="1" customWidth="1"/>
  </cols>
  <sheetData>
    <row r="1" spans="1:5" ht="15.75" x14ac:dyDescent="0.25">
      <c r="A1" s="7" t="s">
        <v>46</v>
      </c>
      <c r="B1" s="7" t="s">
        <v>47</v>
      </c>
      <c r="D1" t="s">
        <v>46</v>
      </c>
      <c r="E1" t="s">
        <v>50</v>
      </c>
    </row>
    <row r="2" spans="1:5" x14ac:dyDescent="0.25">
      <c r="A2" t="s">
        <v>50</v>
      </c>
      <c r="B2" t="s">
        <v>48</v>
      </c>
    </row>
    <row r="3" spans="1:5" x14ac:dyDescent="0.25">
      <c r="A3" t="s">
        <v>51</v>
      </c>
      <c r="B3" t="s">
        <v>49</v>
      </c>
    </row>
    <row r="5" spans="1:5" x14ac:dyDescent="0.25">
      <c r="A5" t="s">
        <v>52</v>
      </c>
    </row>
  </sheetData>
  <conditionalFormatting sqref="A1:E10">
    <cfRule type="expression" dxfId="2" priority="1">
      <formula>COUNTA($A1)&gt;0</formula>
    </cfRule>
  </conditionalFormatting>
  <dataValidations count="2">
    <dataValidation type="list" allowBlank="1" showInputMessage="1" showErrorMessage="1" sqref="D1" xr:uid="{4D085004-32E7-44DD-8C91-6060089A4D85}">
      <formula1>"CSE,BBA"</formula1>
    </dataValidation>
    <dataValidation type="list" allowBlank="1" showInputMessage="1" showErrorMessage="1" sqref="E1" xr:uid="{76F76A9D-DE68-43AE-82E5-686AC86D1634}">
      <formula1>INDIRECT($D$1)</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CB20C-885E-4164-AD6C-58D563CAB00C}">
  <dimension ref="A1:J20"/>
  <sheetViews>
    <sheetView workbookViewId="0">
      <selection activeCell="D20" sqref="D20"/>
    </sheetView>
  </sheetViews>
  <sheetFormatPr defaultRowHeight="15" x14ac:dyDescent="0.25"/>
  <cols>
    <col min="1" max="1" width="9.28515625" style="8" bestFit="1" customWidth="1"/>
    <col min="2" max="8" width="11.5703125" style="8" bestFit="1" customWidth="1"/>
    <col min="9" max="10" width="9.28515625" style="8" bestFit="1" customWidth="1"/>
    <col min="11" max="16384" width="9.140625" style="8"/>
  </cols>
  <sheetData>
    <row r="1" spans="1:10" x14ac:dyDescent="0.25">
      <c r="A1" s="9" t="s">
        <v>54</v>
      </c>
      <c r="B1" s="9" t="s">
        <v>55</v>
      </c>
    </row>
    <row r="2" spans="1:10" x14ac:dyDescent="0.25">
      <c r="A2" s="9">
        <v>2026</v>
      </c>
      <c r="B2" s="9">
        <v>8</v>
      </c>
    </row>
    <row r="4" spans="1:10" x14ac:dyDescent="0.25">
      <c r="A4" s="9" t="s">
        <v>53</v>
      </c>
      <c r="B4" s="9" t="s">
        <v>56</v>
      </c>
      <c r="C4" s="9" t="s">
        <v>57</v>
      </c>
      <c r="D4" s="9" t="s">
        <v>58</v>
      </c>
      <c r="E4" s="9" t="s">
        <v>59</v>
      </c>
      <c r="F4" s="9" t="s">
        <v>60</v>
      </c>
      <c r="G4" s="9" t="s">
        <v>61</v>
      </c>
      <c r="H4" s="9" t="s">
        <v>62</v>
      </c>
    </row>
    <row r="5" spans="1:10" x14ac:dyDescent="0.25">
      <c r="A5" s="9" t="s">
        <v>63</v>
      </c>
      <c r="B5" s="10">
        <f>DATE(A2,B2,1)-WEEKDAY(DATE(A2,B2,1))+1</f>
        <v>46229</v>
      </c>
      <c r="C5" s="10">
        <f>B5+1</f>
        <v>46230</v>
      </c>
      <c r="D5" s="10">
        <f>B5+2</f>
        <v>46231</v>
      </c>
      <c r="E5" s="10">
        <f>B5+3</f>
        <v>46232</v>
      </c>
      <c r="F5" s="10">
        <f>B5+4</f>
        <v>46233</v>
      </c>
      <c r="G5" s="10">
        <f>B5+5</f>
        <v>46234</v>
      </c>
      <c r="H5" s="10">
        <f>B5+6</f>
        <v>46235</v>
      </c>
    </row>
    <row r="6" spans="1:10" x14ac:dyDescent="0.25">
      <c r="A6" s="9" t="s">
        <v>64</v>
      </c>
      <c r="B6" s="9"/>
      <c r="C6" s="9"/>
      <c r="D6" s="9"/>
      <c r="E6" s="9"/>
      <c r="F6" s="9"/>
      <c r="G6" s="9"/>
      <c r="H6" s="9"/>
      <c r="I6" s="12" t="s">
        <v>67</v>
      </c>
      <c r="J6" s="12" t="s">
        <v>68</v>
      </c>
    </row>
    <row r="7" spans="1:10" x14ac:dyDescent="0.25">
      <c r="A7" s="9">
        <v>101</v>
      </c>
      <c r="B7" s="9" t="s">
        <v>66</v>
      </c>
      <c r="C7" s="9" t="s">
        <v>65</v>
      </c>
      <c r="D7" s="9" t="s">
        <v>65</v>
      </c>
      <c r="E7" s="9" t="s">
        <v>65</v>
      </c>
      <c r="F7" s="9" t="s">
        <v>66</v>
      </c>
      <c r="G7" s="9" t="s">
        <v>65</v>
      </c>
      <c r="H7" s="9" t="s">
        <v>65</v>
      </c>
      <c r="I7" s="11">
        <f>COUNTIF(B7:H7,"P")</f>
        <v>5</v>
      </c>
      <c r="J7" s="11">
        <f>COUNTIF(B7:H7,"AB")</f>
        <v>2</v>
      </c>
    </row>
    <row r="8" spans="1:10" x14ac:dyDescent="0.25">
      <c r="A8" s="9">
        <v>102</v>
      </c>
      <c r="B8" s="9" t="s">
        <v>65</v>
      </c>
      <c r="C8" s="9" t="s">
        <v>65</v>
      </c>
      <c r="D8" s="9" t="s">
        <v>65</v>
      </c>
      <c r="E8" s="9" t="s">
        <v>65</v>
      </c>
      <c r="F8" s="9" t="s">
        <v>65</v>
      </c>
      <c r="G8" s="9" t="s">
        <v>65</v>
      </c>
      <c r="H8" s="9" t="s">
        <v>65</v>
      </c>
      <c r="I8" s="11">
        <f>COUNTIF(B8:H8,"P")</f>
        <v>7</v>
      </c>
      <c r="J8" s="11">
        <f>COUNTIF(B8:H8,"AB")</f>
        <v>0</v>
      </c>
    </row>
    <row r="9" spans="1:10" x14ac:dyDescent="0.25">
      <c r="A9" s="9">
        <v>103</v>
      </c>
      <c r="B9" s="9" t="s">
        <v>65</v>
      </c>
      <c r="C9" s="9" t="s">
        <v>65</v>
      </c>
      <c r="D9" s="9" t="s">
        <v>66</v>
      </c>
      <c r="E9" s="9" t="s">
        <v>65</v>
      </c>
      <c r="F9" s="9" t="s">
        <v>65</v>
      </c>
      <c r="G9" s="9" t="s">
        <v>65</v>
      </c>
      <c r="H9" s="9" t="s">
        <v>66</v>
      </c>
      <c r="I9" s="11">
        <f>COUNTIF(B9:H9,"P")</f>
        <v>5</v>
      </c>
      <c r="J9" s="11">
        <f>COUNTIF(B9:H9,"AB")</f>
        <v>2</v>
      </c>
    </row>
    <row r="10" spans="1:10" x14ac:dyDescent="0.25">
      <c r="A10" s="9">
        <v>104</v>
      </c>
      <c r="B10" s="9" t="s">
        <v>65</v>
      </c>
      <c r="C10" s="9" t="s">
        <v>65</v>
      </c>
      <c r="D10" s="9" t="s">
        <v>65</v>
      </c>
      <c r="E10" s="9" t="s">
        <v>65</v>
      </c>
      <c r="F10" s="9" t="s">
        <v>65</v>
      </c>
      <c r="G10" s="9" t="s">
        <v>65</v>
      </c>
      <c r="H10" s="9" t="s">
        <v>65</v>
      </c>
      <c r="I10" s="11">
        <f>COUNTIF(B10:H10,"P")</f>
        <v>7</v>
      </c>
      <c r="J10" s="11">
        <f>COUNTIF(B10:H10,"AB")</f>
        <v>0</v>
      </c>
    </row>
    <row r="11" spans="1:10" x14ac:dyDescent="0.25">
      <c r="A11" s="9">
        <v>105</v>
      </c>
      <c r="B11" s="9" t="s">
        <v>65</v>
      </c>
      <c r="C11" s="9" t="s">
        <v>65</v>
      </c>
      <c r="D11" s="9" t="s">
        <v>65</v>
      </c>
      <c r="E11" s="9" t="s">
        <v>65</v>
      </c>
      <c r="F11" s="9" t="s">
        <v>66</v>
      </c>
      <c r="G11" s="9" t="s">
        <v>65</v>
      </c>
      <c r="H11" s="9" t="s">
        <v>65</v>
      </c>
      <c r="I11" s="11">
        <f>COUNTIF(B11:H11,"P")</f>
        <v>6</v>
      </c>
      <c r="J11" s="11">
        <f>COUNTIF(B11:H11,"AB")</f>
        <v>1</v>
      </c>
    </row>
    <row r="20" spans="4:4" x14ac:dyDescent="0.25">
      <c r="D20"/>
    </row>
  </sheetData>
  <phoneticPr fontId="4" type="noConversion"/>
  <conditionalFormatting sqref="B7:H11">
    <cfRule type="cellIs" dxfId="1" priority="1" operator="equal">
      <formula>"AB"</formula>
    </cfRule>
    <cfRule type="cellIs" dxfId="0" priority="2" operator="equal">
      <formula>"P"</formula>
    </cfRule>
  </conditionalFormatting>
  <dataValidations count="1">
    <dataValidation type="list" allowBlank="1" showInputMessage="1" showErrorMessage="1" sqref="B7:H11" xr:uid="{67A7F5D3-C90B-446E-A89D-3B232D5525CA}">
      <formula1>"P,AB"</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9A1F2810-9B37-4148-BFB4-AE3858C3EBF5}">
  <ds:schemaRefs>
    <ds:schemaRef ds:uri="http://www.w3.org/2001/XMLSchema"/>
    <ds:schemaRef ds:uri="http://microsoft.data.visualization.engine.tours/1.0"/>
  </ds:schemaRefs>
</ds:datastoreItem>
</file>

<file path=customXml/itemProps2.xml><?xml version="1.0" encoding="utf-8"?>
<ds:datastoreItem xmlns:ds="http://schemas.openxmlformats.org/officeDocument/2006/customXml" ds:itemID="{9AE7B051-A3A2-4A5D-BD35-6CFB9E517853}">
  <ds:schemaRefs>
    <ds:schemaRef ds:uri="http://www.w3.org/2001/XMLSchema"/>
    <ds:schemaRef ds:uri="http://microsoft.data.visualization.Client.Excel.LState/1.0"/>
  </ds:schemaRefs>
</ds:datastoreItem>
</file>

<file path=customXml/itemProps3.xml><?xml version="1.0" encoding="utf-8"?>
<ds:datastoreItem xmlns:ds="http://schemas.openxmlformats.org/officeDocument/2006/customXml" ds:itemID="{DE1C5B72-000C-49DB-86B2-1BDBEADA5625}">
  <ds:schemaRefs>
    <ds:schemaRef ds:uri="http://www.w3.org/2001/XMLSchema"/>
    <ds:schemaRef ds:uri="http://microsoft.data.visualization.Client.Excel/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Sheet1</vt:lpstr>
      <vt:lpstr>Sheet2</vt:lpstr>
      <vt:lpstr>Sheet3</vt:lpstr>
      <vt:lpstr>BBA</vt:lpstr>
      <vt:lpstr>CSE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dc:creator>
  <cp:lastModifiedBy>student</cp:lastModifiedBy>
  <dcterms:created xsi:type="dcterms:W3CDTF">2015-06-05T18:17:20Z</dcterms:created>
  <dcterms:modified xsi:type="dcterms:W3CDTF">2026-08-26T05:01:46Z</dcterms:modified>
</cp:coreProperties>
</file>