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0dc0608744e6982/Documents/Sem - 3/OAT/OAT_Practical/"/>
    </mc:Choice>
  </mc:AlternateContent>
  <xr:revisionPtr revIDLastSave="2" documentId="13_ncr:1_{5E88CAE8-FE79-49CD-9AA8-C6E23C8F71DC}" xr6:coauthVersionLast="47" xr6:coauthVersionMax="47" xr10:uidLastSave="{9D8E2052-3B39-46B0-B4D3-F18C1E7061F1}"/>
  <bookViews>
    <workbookView xWindow="-108" yWindow="-108" windowWidth="23256" windowHeight="12456" activeTab="1" xr2:uid="{4523BA19-3246-4679-AD5E-CB154EB4DAE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2" l="1"/>
  <c r="E26" i="2"/>
  <c r="D26" i="2"/>
  <c r="C26" i="2"/>
  <c r="B26" i="2"/>
  <c r="F25" i="2"/>
  <c r="E25" i="2"/>
  <c r="D25" i="2"/>
  <c r="C25" i="2"/>
  <c r="B25" i="2"/>
  <c r="F24" i="2"/>
  <c r="E24" i="2"/>
  <c r="D24" i="2"/>
  <c r="C24" i="2"/>
  <c r="B24" i="2"/>
  <c r="F23" i="2"/>
  <c r="E23" i="2"/>
  <c r="D23" i="2"/>
  <c r="C23" i="2"/>
  <c r="B23" i="2"/>
  <c r="F22" i="2"/>
  <c r="E22" i="2"/>
  <c r="D22" i="2"/>
  <c r="C22" i="2"/>
  <c r="B22" i="2"/>
  <c r="F21" i="2"/>
  <c r="E21" i="2"/>
  <c r="D21" i="2"/>
  <c r="C21" i="2"/>
  <c r="B21" i="2"/>
  <c r="F20" i="2"/>
  <c r="E20" i="2"/>
  <c r="D20" i="2"/>
  <c r="C20" i="2"/>
  <c r="B20" i="2"/>
  <c r="C14" i="2"/>
  <c r="C15" i="2" s="1"/>
  <c r="F13" i="2"/>
  <c r="E13" i="2"/>
  <c r="D13" i="2"/>
  <c r="C13" i="2"/>
  <c r="B13" i="2"/>
  <c r="F12" i="2"/>
  <c r="E12" i="2"/>
  <c r="D12" i="2"/>
  <c r="C12" i="2"/>
  <c r="B12" i="2"/>
  <c r="F11" i="2"/>
  <c r="E11" i="2"/>
  <c r="D11" i="2"/>
  <c r="D14" i="2" s="1"/>
  <c r="D15" i="2" s="1"/>
  <c r="C11" i="2"/>
  <c r="B11" i="2"/>
  <c r="B14" i="2" s="1"/>
  <c r="B15" i="2" s="1"/>
  <c r="F10" i="2"/>
  <c r="F14" i="2" s="1"/>
  <c r="F15" i="2" s="1"/>
  <c r="E10" i="2"/>
  <c r="E14" i="2" s="1"/>
  <c r="E15" i="2" s="1"/>
  <c r="D10" i="2"/>
  <c r="C10" i="2"/>
  <c r="B10" i="2"/>
  <c r="D19" i="1" l="1"/>
  <c r="D21" i="1"/>
  <c r="D20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2" i="1"/>
  <c r="R7" i="1"/>
  <c r="K3" i="1"/>
  <c r="R3" i="1" s="1"/>
  <c r="K4" i="1"/>
  <c r="R4" i="1" s="1"/>
  <c r="K5" i="1"/>
  <c r="R5" i="1" s="1"/>
  <c r="K6" i="1"/>
  <c r="R6" i="1" s="1"/>
  <c r="K7" i="1"/>
  <c r="K8" i="1"/>
  <c r="R8" i="1" s="1"/>
  <c r="K9" i="1"/>
  <c r="R9" i="1" s="1"/>
  <c r="K10" i="1"/>
  <c r="R10" i="1" s="1"/>
  <c r="K11" i="1"/>
  <c r="R11" i="1" s="1"/>
  <c r="K12" i="1"/>
  <c r="R12" i="1" s="1"/>
  <c r="K13" i="1"/>
  <c r="R13" i="1" s="1"/>
  <c r="K14" i="1"/>
  <c r="R14" i="1" s="1"/>
  <c r="K15" i="1"/>
  <c r="R15" i="1" s="1"/>
  <c r="K16" i="1"/>
  <c r="R16" i="1" s="1"/>
  <c r="K2" i="1"/>
  <c r="R2" i="1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2" i="1"/>
  <c r="O3" i="1"/>
  <c r="Q3" i="1" s="1"/>
  <c r="O4" i="1"/>
  <c r="Q4" i="1" s="1"/>
  <c r="O5" i="1"/>
  <c r="Q5" i="1" s="1"/>
  <c r="O6" i="1"/>
  <c r="Q6" i="1" s="1"/>
  <c r="O7" i="1"/>
  <c r="Q7" i="1" s="1"/>
  <c r="O8" i="1"/>
  <c r="Q8" i="1" s="1"/>
  <c r="O9" i="1"/>
  <c r="Q9" i="1" s="1"/>
  <c r="O10" i="1"/>
  <c r="Q10" i="1" s="1"/>
  <c r="O11" i="1"/>
  <c r="Q11" i="1" s="1"/>
  <c r="O12" i="1"/>
  <c r="Q12" i="1" s="1"/>
  <c r="O13" i="1"/>
  <c r="Q13" i="1" s="1"/>
  <c r="O14" i="1"/>
  <c r="Q14" i="1" s="1"/>
  <c r="O15" i="1"/>
  <c r="Q15" i="1" s="1"/>
  <c r="O16" i="1"/>
  <c r="Q16" i="1" s="1"/>
  <c r="O2" i="1"/>
  <c r="Q2" i="1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2" i="1"/>
</calcChain>
</file>

<file path=xl/sharedStrings.xml><?xml version="1.0" encoding="utf-8"?>
<sst xmlns="http://schemas.openxmlformats.org/spreadsheetml/2006/main" count="87" uniqueCount="65">
  <si>
    <t>Roll No.</t>
  </si>
  <si>
    <t>Name</t>
  </si>
  <si>
    <t>Sub_1</t>
  </si>
  <si>
    <t>Sub_2</t>
  </si>
  <si>
    <t>Sub_3</t>
  </si>
  <si>
    <t>Sub_4</t>
  </si>
  <si>
    <t>Sub_5</t>
  </si>
  <si>
    <t>Age</t>
  </si>
  <si>
    <t>Arya</t>
  </si>
  <si>
    <t>Dhairya</t>
  </si>
  <si>
    <t>Dhairya_2</t>
  </si>
  <si>
    <t>Harsh</t>
  </si>
  <si>
    <t>Henish</t>
  </si>
  <si>
    <t>Jeet</t>
  </si>
  <si>
    <t>Jenil</t>
  </si>
  <si>
    <t>Lipsit</t>
  </si>
  <si>
    <t>Meet</t>
  </si>
  <si>
    <t>Om</t>
  </si>
  <si>
    <t>Pujan</t>
  </si>
  <si>
    <t>Smit</t>
  </si>
  <si>
    <t>Utsav</t>
  </si>
  <si>
    <t>Vraj</t>
  </si>
  <si>
    <t>Yug</t>
  </si>
  <si>
    <t xml:space="preserve">Total </t>
  </si>
  <si>
    <t>Percentage</t>
  </si>
  <si>
    <t>Lower</t>
  </si>
  <si>
    <t>Upper</t>
  </si>
  <si>
    <t>Proper</t>
  </si>
  <si>
    <t>Min</t>
  </si>
  <si>
    <t>Max</t>
  </si>
  <si>
    <t>Grade</t>
  </si>
  <si>
    <t>Concate</t>
  </si>
  <si>
    <t>Trim</t>
  </si>
  <si>
    <t>Average</t>
  </si>
  <si>
    <t>Last Name</t>
  </si>
  <si>
    <t>Jain</t>
  </si>
  <si>
    <t>Makwana</t>
  </si>
  <si>
    <t>Xyz</t>
  </si>
  <si>
    <t>Trivedi</t>
  </si>
  <si>
    <t>Palsana</t>
  </si>
  <si>
    <t>Chitre</t>
  </si>
  <si>
    <t>Abc</t>
  </si>
  <si>
    <t>Katariya</t>
  </si>
  <si>
    <t>Indoriya</t>
  </si>
  <si>
    <t>Thanki</t>
  </si>
  <si>
    <t>Virani</t>
  </si>
  <si>
    <t>Harsora</t>
  </si>
  <si>
    <t>Kanzariya</t>
  </si>
  <si>
    <t>Faldu</t>
  </si>
  <si>
    <t>Kasundra</t>
  </si>
  <si>
    <t>COUNT</t>
  </si>
  <si>
    <t>COUNTA</t>
  </si>
  <si>
    <t>COUNTIF</t>
  </si>
  <si>
    <t>Sudent Rno.</t>
  </si>
  <si>
    <t>Subject_1</t>
  </si>
  <si>
    <t>Subject_2</t>
  </si>
  <si>
    <t>Subject_3</t>
  </si>
  <si>
    <t>Subject_4</t>
  </si>
  <si>
    <t>Total</t>
  </si>
  <si>
    <t>A</t>
  </si>
  <si>
    <t>B</t>
  </si>
  <si>
    <t>A+</t>
  </si>
  <si>
    <t>C</t>
  </si>
  <si>
    <t>B+</t>
  </si>
  <si>
    <t>Student Roll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</si>
</sst>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Gill Sans MT"/>
      <family val="2"/>
    </font>
    <font>
      <sz val="11"/>
      <color theme="1"/>
      <name val="Arial Rounded MT Bold"/>
      <family val="2"/>
    </font>
    <font>
      <sz val="14"/>
      <color theme="1"/>
      <name val="Arial Rounded MT Bold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2AD16-067B-4D24-A1FF-C1E415D2BDA1}">
  <dimension ref="A1:T22"/>
  <sheetViews>
    <sheetView zoomScaleNormal="100" workbookViewId="0">
      <selection activeCell="G23" sqref="G23"/>
    </sheetView>
  </sheetViews>
  <sheetFormatPr defaultRowHeight="14.4" x14ac:dyDescent="0.3"/>
  <cols>
    <col min="1" max="1" width="12.88671875" customWidth="1"/>
    <col min="2" max="2" width="11.88671875" bestFit="1" customWidth="1"/>
    <col min="3" max="3" width="15.33203125" bestFit="1" customWidth="1"/>
    <col min="4" max="8" width="10.109375" bestFit="1" customWidth="1"/>
    <col min="9" max="9" width="7" bestFit="1" customWidth="1"/>
    <col min="10" max="10" width="9.44140625" style="3" bestFit="1" customWidth="1"/>
    <col min="11" max="11" width="12.33203125" style="3" bestFit="1" customWidth="1"/>
    <col min="12" max="12" width="18.109375" style="3" bestFit="1" customWidth="1"/>
    <col min="13" max="13" width="6.33203125" style="3" bestFit="1" customWidth="1"/>
    <col min="14" max="14" width="7" style="3" bestFit="1" customWidth="1"/>
    <col min="15" max="15" width="9.5546875" bestFit="1" customWidth="1"/>
    <col min="16" max="16" width="10.88671875" bestFit="1" customWidth="1"/>
    <col min="17" max="17" width="10.33203125" bestFit="1" customWidth="1"/>
    <col min="18" max="18" width="9.44140625" style="3" bestFit="1" customWidth="1"/>
    <col min="19" max="19" width="13.5546875" bestFit="1" customWidth="1"/>
    <col min="20" max="20" width="9.6640625" bestFit="1" customWidth="1"/>
  </cols>
  <sheetData>
    <row r="1" spans="1:20" ht="17.399999999999999" x14ac:dyDescent="0.3">
      <c r="A1" s="5" t="s">
        <v>0</v>
      </c>
      <c r="B1" s="5" t="s">
        <v>1</v>
      </c>
      <c r="C1" s="5" t="s">
        <v>34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23</v>
      </c>
      <c r="K1" s="5" t="s">
        <v>33</v>
      </c>
      <c r="L1" s="5" t="s">
        <v>24</v>
      </c>
      <c r="M1" s="5" t="s">
        <v>28</v>
      </c>
      <c r="N1" s="5" t="s">
        <v>29</v>
      </c>
      <c r="O1" s="5" t="s">
        <v>25</v>
      </c>
      <c r="P1" s="5" t="s">
        <v>26</v>
      </c>
      <c r="Q1" s="5" t="s">
        <v>27</v>
      </c>
      <c r="R1" s="7" t="s">
        <v>30</v>
      </c>
      <c r="S1" s="7" t="s">
        <v>31</v>
      </c>
      <c r="T1" s="7" t="s">
        <v>32</v>
      </c>
    </row>
    <row r="2" spans="1:20" s="6" customFormat="1" ht="19.8" x14ac:dyDescent="0.5">
      <c r="A2" s="1">
        <v>113</v>
      </c>
      <c r="B2" s="2" t="s">
        <v>8</v>
      </c>
      <c r="C2" s="2" t="s">
        <v>35</v>
      </c>
      <c r="D2" s="1">
        <v>45</v>
      </c>
      <c r="E2" s="1">
        <v>59</v>
      </c>
      <c r="F2" s="1">
        <v>73</v>
      </c>
      <c r="G2" s="1">
        <v>87</v>
      </c>
      <c r="H2" s="1">
        <v>99</v>
      </c>
      <c r="I2" s="1">
        <v>18</v>
      </c>
      <c r="J2" s="3">
        <f>SUM(D2:H2)</f>
        <v>363</v>
      </c>
      <c r="K2" s="3">
        <f>AVERAGE(D2:H2)</f>
        <v>72.599999999999994</v>
      </c>
      <c r="L2" s="4">
        <f>AVERAGE(D2:H2)/100</f>
        <v>0.72599999999999998</v>
      </c>
      <c r="M2" s="3">
        <f>MIN(D2:H2)</f>
        <v>45</v>
      </c>
      <c r="N2" s="3">
        <f>MAX(D2:H2)</f>
        <v>99</v>
      </c>
      <c r="O2" t="str">
        <f>LOWER(B2)</f>
        <v>arya</v>
      </c>
      <c r="P2" t="str">
        <f>UPPER(B2)</f>
        <v>ARYA</v>
      </c>
      <c r="Q2" t="str">
        <f>PROPER(O2)</f>
        <v>Arya</v>
      </c>
      <c r="R2" s="3" t="str">
        <f>IF(K2&gt;90,"A++",IF(K2&gt;80,"A+",IF(K2&gt;70,"A",IF(K2&gt;60,"B+",IF(K2&gt;50,"B",IF(K2&gt;40,"C","FAIL"))))))</f>
        <v>A</v>
      </c>
      <c r="S2" t="str">
        <f>CONCATENATE(A2,"-",B2)</f>
        <v>113-Arya</v>
      </c>
      <c r="T2" t="str">
        <f>TRIM(B2)</f>
        <v>Arya</v>
      </c>
    </row>
    <row r="3" spans="1:20" ht="18" x14ac:dyDescent="0.5">
      <c r="A3" s="1">
        <v>103</v>
      </c>
      <c r="B3" s="2" t="s">
        <v>9</v>
      </c>
      <c r="C3" s="2" t="s">
        <v>36</v>
      </c>
      <c r="D3" s="1">
        <v>35</v>
      </c>
      <c r="E3" s="1">
        <v>49</v>
      </c>
      <c r="F3" s="1">
        <v>63</v>
      </c>
      <c r="G3" s="1">
        <v>77</v>
      </c>
      <c r="H3" s="1">
        <v>91</v>
      </c>
      <c r="I3" s="1">
        <v>18</v>
      </c>
      <c r="J3" s="3">
        <f t="shared" ref="J3:J16" si="0">SUM(D3:H3)</f>
        <v>315</v>
      </c>
      <c r="K3" s="3">
        <f t="shared" ref="K3:K16" si="1">AVERAGE(D3:H3)</f>
        <v>63</v>
      </c>
      <c r="L3" s="4">
        <f t="shared" ref="L3:L16" si="2">AVERAGE(D3:H3)/100</f>
        <v>0.63</v>
      </c>
      <c r="M3" s="3">
        <f t="shared" ref="M3:M16" si="3">MIN(D3:H3)</f>
        <v>35</v>
      </c>
      <c r="N3" s="3">
        <f t="shared" ref="N3:N16" si="4">MAX(D3:H3)</f>
        <v>91</v>
      </c>
      <c r="O3" t="str">
        <f t="shared" ref="O3:O16" si="5">LOWER(B3)</f>
        <v>dhairya</v>
      </c>
      <c r="P3" t="str">
        <f t="shared" ref="P3:P16" si="6">UPPER(B3)</f>
        <v>DHAIRYA</v>
      </c>
      <c r="Q3" t="str">
        <f t="shared" ref="Q3:Q16" si="7">PROPER(O3)</f>
        <v>Dhairya</v>
      </c>
      <c r="R3" s="3" t="str">
        <f t="shared" ref="R3:R16" si="8">IF(K3&gt;90,"A++",IF(K3&gt;80,"A+",IF(K3&gt;70,"A",IF(K3&gt;60,"B+",IF(K3&gt;50,"B",IF(K3&gt;40,"C","FAIL"))))))</f>
        <v>B+</v>
      </c>
      <c r="S3" t="str">
        <f t="shared" ref="S3:S16" si="9">CONCATENATE(A3,"-",B3)</f>
        <v>103-Dhairya</v>
      </c>
      <c r="T3" t="str">
        <f t="shared" ref="T3:T16" si="10">TRIM(B3)</f>
        <v>Dhairya</v>
      </c>
    </row>
    <row r="4" spans="1:20" ht="18" x14ac:dyDescent="0.5">
      <c r="A4" s="1">
        <v>109</v>
      </c>
      <c r="B4" s="2" t="s">
        <v>10</v>
      </c>
      <c r="C4" s="2" t="s">
        <v>37</v>
      </c>
      <c r="D4" s="1">
        <v>41</v>
      </c>
      <c r="E4" s="1">
        <v>55</v>
      </c>
      <c r="F4" s="1">
        <v>69</v>
      </c>
      <c r="G4" s="1">
        <v>83</v>
      </c>
      <c r="H4" s="1">
        <v>97</v>
      </c>
      <c r="I4" s="1">
        <v>18</v>
      </c>
      <c r="J4" s="3">
        <f t="shared" si="0"/>
        <v>345</v>
      </c>
      <c r="K4" s="3">
        <f t="shared" si="1"/>
        <v>69</v>
      </c>
      <c r="L4" s="4">
        <f t="shared" si="2"/>
        <v>0.69</v>
      </c>
      <c r="M4" s="3">
        <f t="shared" si="3"/>
        <v>41</v>
      </c>
      <c r="N4" s="3">
        <f t="shared" si="4"/>
        <v>97</v>
      </c>
      <c r="O4" t="str">
        <f t="shared" si="5"/>
        <v>dhairya_2</v>
      </c>
      <c r="P4" t="str">
        <f t="shared" si="6"/>
        <v>DHAIRYA_2</v>
      </c>
      <c r="Q4" t="str">
        <f t="shared" si="7"/>
        <v>Dhairya_2</v>
      </c>
      <c r="R4" s="3" t="str">
        <f t="shared" si="8"/>
        <v>B+</v>
      </c>
      <c r="S4" t="str">
        <f t="shared" si="9"/>
        <v>109-Dhairya_2</v>
      </c>
      <c r="T4" t="str">
        <f t="shared" si="10"/>
        <v>Dhairya_2</v>
      </c>
    </row>
    <row r="5" spans="1:20" ht="18" x14ac:dyDescent="0.5">
      <c r="A5" s="1">
        <v>110</v>
      </c>
      <c r="B5" s="2" t="s">
        <v>11</v>
      </c>
      <c r="C5" s="2" t="s">
        <v>38</v>
      </c>
      <c r="D5" s="1">
        <v>42</v>
      </c>
      <c r="E5" s="1">
        <v>56</v>
      </c>
      <c r="F5" s="1">
        <v>70</v>
      </c>
      <c r="G5" s="1">
        <v>84</v>
      </c>
      <c r="H5" s="1">
        <v>98</v>
      </c>
      <c r="I5" s="1">
        <v>18</v>
      </c>
      <c r="J5" s="3">
        <f t="shared" si="0"/>
        <v>350</v>
      </c>
      <c r="K5" s="3">
        <f t="shared" si="1"/>
        <v>70</v>
      </c>
      <c r="L5" s="4">
        <f t="shared" si="2"/>
        <v>0.7</v>
      </c>
      <c r="M5" s="3">
        <f t="shared" si="3"/>
        <v>42</v>
      </c>
      <c r="N5" s="3">
        <f t="shared" si="4"/>
        <v>98</v>
      </c>
      <c r="O5" t="str">
        <f t="shared" si="5"/>
        <v>harsh</v>
      </c>
      <c r="P5" t="str">
        <f t="shared" si="6"/>
        <v>HARSH</v>
      </c>
      <c r="Q5" t="str">
        <f t="shared" si="7"/>
        <v>Harsh</v>
      </c>
      <c r="R5" s="3" t="str">
        <f t="shared" si="8"/>
        <v>B+</v>
      </c>
      <c r="S5" t="str">
        <f t="shared" si="9"/>
        <v>110-Harsh</v>
      </c>
      <c r="T5" t="str">
        <f t="shared" si="10"/>
        <v>Harsh</v>
      </c>
    </row>
    <row r="6" spans="1:20" ht="18" x14ac:dyDescent="0.5">
      <c r="A6" s="1">
        <v>102</v>
      </c>
      <c r="B6" s="2" t="s">
        <v>12</v>
      </c>
      <c r="C6" s="2" t="s">
        <v>39</v>
      </c>
      <c r="D6" s="1">
        <v>34</v>
      </c>
      <c r="E6" s="1">
        <v>48</v>
      </c>
      <c r="F6" s="1">
        <v>62</v>
      </c>
      <c r="G6" s="1">
        <v>76</v>
      </c>
      <c r="H6" s="1">
        <v>90</v>
      </c>
      <c r="I6" s="1">
        <v>18</v>
      </c>
      <c r="J6" s="3">
        <f t="shared" si="0"/>
        <v>310</v>
      </c>
      <c r="K6" s="3">
        <f t="shared" si="1"/>
        <v>62</v>
      </c>
      <c r="L6" s="4">
        <f t="shared" si="2"/>
        <v>0.62</v>
      </c>
      <c r="M6" s="3">
        <f t="shared" si="3"/>
        <v>34</v>
      </c>
      <c r="N6" s="3">
        <f t="shared" si="4"/>
        <v>90</v>
      </c>
      <c r="O6" t="str">
        <f t="shared" si="5"/>
        <v>henish</v>
      </c>
      <c r="P6" t="str">
        <f t="shared" si="6"/>
        <v>HENISH</v>
      </c>
      <c r="Q6" t="str">
        <f t="shared" si="7"/>
        <v>Henish</v>
      </c>
      <c r="R6" s="3" t="str">
        <f t="shared" si="8"/>
        <v>B+</v>
      </c>
      <c r="S6" t="str">
        <f t="shared" si="9"/>
        <v>102-Henish</v>
      </c>
      <c r="T6" t="str">
        <f t="shared" si="10"/>
        <v>Henish</v>
      </c>
    </row>
    <row r="7" spans="1:20" ht="18" x14ac:dyDescent="0.5">
      <c r="A7" s="1">
        <v>111</v>
      </c>
      <c r="B7" s="2" t="s">
        <v>13</v>
      </c>
      <c r="C7" s="2" t="s">
        <v>40</v>
      </c>
      <c r="D7" s="1">
        <v>43</v>
      </c>
      <c r="E7" s="1">
        <v>57</v>
      </c>
      <c r="F7" s="1">
        <v>71</v>
      </c>
      <c r="G7" s="1">
        <v>85</v>
      </c>
      <c r="H7" s="1">
        <v>99</v>
      </c>
      <c r="I7" s="1">
        <v>18</v>
      </c>
      <c r="J7" s="3">
        <f t="shared" si="0"/>
        <v>355</v>
      </c>
      <c r="K7" s="3">
        <f t="shared" si="1"/>
        <v>71</v>
      </c>
      <c r="L7" s="4">
        <f t="shared" si="2"/>
        <v>0.71</v>
      </c>
      <c r="M7" s="3">
        <f t="shared" si="3"/>
        <v>43</v>
      </c>
      <c r="N7" s="3">
        <f t="shared" si="4"/>
        <v>99</v>
      </c>
      <c r="O7" t="str">
        <f t="shared" si="5"/>
        <v>jeet</v>
      </c>
      <c r="P7" t="str">
        <f t="shared" si="6"/>
        <v>JEET</v>
      </c>
      <c r="Q7" t="str">
        <f t="shared" si="7"/>
        <v>Jeet</v>
      </c>
      <c r="R7" s="3" t="str">
        <f t="shared" si="8"/>
        <v>A</v>
      </c>
      <c r="S7" t="str">
        <f t="shared" si="9"/>
        <v>111-Jeet</v>
      </c>
      <c r="T7" t="str">
        <f t="shared" si="10"/>
        <v>Jeet</v>
      </c>
    </row>
    <row r="8" spans="1:20" ht="18" x14ac:dyDescent="0.5">
      <c r="A8" s="1">
        <v>108</v>
      </c>
      <c r="B8" s="2" t="s">
        <v>14</v>
      </c>
      <c r="C8" s="2" t="s">
        <v>41</v>
      </c>
      <c r="D8" s="1">
        <v>40</v>
      </c>
      <c r="E8" s="1">
        <v>54</v>
      </c>
      <c r="F8" s="1">
        <v>68</v>
      </c>
      <c r="G8" s="1">
        <v>82</v>
      </c>
      <c r="H8" s="1">
        <v>96</v>
      </c>
      <c r="I8" s="1">
        <v>18</v>
      </c>
      <c r="J8" s="3">
        <f t="shared" si="0"/>
        <v>340</v>
      </c>
      <c r="K8" s="3">
        <f t="shared" si="1"/>
        <v>68</v>
      </c>
      <c r="L8" s="4">
        <f t="shared" si="2"/>
        <v>0.68</v>
      </c>
      <c r="M8" s="3">
        <f t="shared" si="3"/>
        <v>40</v>
      </c>
      <c r="N8" s="3">
        <f t="shared" si="4"/>
        <v>96</v>
      </c>
      <c r="O8" t="str">
        <f t="shared" si="5"/>
        <v>jenil</v>
      </c>
      <c r="P8" t="str">
        <f t="shared" si="6"/>
        <v>JENIL</v>
      </c>
      <c r="Q8" t="str">
        <f t="shared" si="7"/>
        <v>Jenil</v>
      </c>
      <c r="R8" s="3" t="str">
        <f t="shared" si="8"/>
        <v>B+</v>
      </c>
      <c r="S8" t="str">
        <f t="shared" si="9"/>
        <v>108-Jenil</v>
      </c>
      <c r="T8" t="str">
        <f t="shared" si="10"/>
        <v>Jenil</v>
      </c>
    </row>
    <row r="9" spans="1:20" ht="18" x14ac:dyDescent="0.5">
      <c r="A9" s="1">
        <v>106</v>
      </c>
      <c r="B9" s="2" t="s">
        <v>15</v>
      </c>
      <c r="C9" s="2" t="s">
        <v>42</v>
      </c>
      <c r="D9" s="1">
        <v>38</v>
      </c>
      <c r="E9" s="1">
        <v>52</v>
      </c>
      <c r="F9" s="1">
        <v>66</v>
      </c>
      <c r="G9" s="1">
        <v>80</v>
      </c>
      <c r="H9" s="1">
        <v>94</v>
      </c>
      <c r="I9" s="1">
        <v>18</v>
      </c>
      <c r="J9" s="3">
        <f t="shared" si="0"/>
        <v>330</v>
      </c>
      <c r="K9" s="3">
        <f t="shared" si="1"/>
        <v>66</v>
      </c>
      <c r="L9" s="4">
        <f t="shared" si="2"/>
        <v>0.66</v>
      </c>
      <c r="M9" s="3">
        <f t="shared" si="3"/>
        <v>38</v>
      </c>
      <c r="N9" s="3">
        <f t="shared" si="4"/>
        <v>94</v>
      </c>
      <c r="O9" t="str">
        <f t="shared" si="5"/>
        <v>lipsit</v>
      </c>
      <c r="P9" t="str">
        <f t="shared" si="6"/>
        <v>LIPSIT</v>
      </c>
      <c r="Q9" t="str">
        <f t="shared" si="7"/>
        <v>Lipsit</v>
      </c>
      <c r="R9" s="3" t="str">
        <f t="shared" si="8"/>
        <v>B+</v>
      </c>
      <c r="S9" t="str">
        <f t="shared" si="9"/>
        <v>106-Lipsit</v>
      </c>
      <c r="T9" t="str">
        <f t="shared" si="10"/>
        <v>Lipsit</v>
      </c>
    </row>
    <row r="10" spans="1:20" ht="18" x14ac:dyDescent="0.5">
      <c r="A10" s="1">
        <v>114</v>
      </c>
      <c r="B10" s="2" t="s">
        <v>16</v>
      </c>
      <c r="C10" s="2" t="s">
        <v>43</v>
      </c>
      <c r="D10" s="1">
        <v>46</v>
      </c>
      <c r="E10" s="1">
        <v>60</v>
      </c>
      <c r="F10" s="1">
        <v>74</v>
      </c>
      <c r="G10" s="1">
        <v>88</v>
      </c>
      <c r="H10" s="1">
        <v>99</v>
      </c>
      <c r="I10" s="1">
        <v>18</v>
      </c>
      <c r="J10" s="3">
        <f t="shared" si="0"/>
        <v>367</v>
      </c>
      <c r="K10" s="3">
        <f t="shared" si="1"/>
        <v>73.400000000000006</v>
      </c>
      <c r="L10" s="4">
        <f t="shared" si="2"/>
        <v>0.7340000000000001</v>
      </c>
      <c r="M10" s="3">
        <f t="shared" si="3"/>
        <v>46</v>
      </c>
      <c r="N10" s="3">
        <f t="shared" si="4"/>
        <v>99</v>
      </c>
      <c r="O10" t="str">
        <f t="shared" si="5"/>
        <v>meet</v>
      </c>
      <c r="P10" t="str">
        <f t="shared" si="6"/>
        <v>MEET</v>
      </c>
      <c r="Q10" t="str">
        <f t="shared" si="7"/>
        <v>Meet</v>
      </c>
      <c r="R10" s="3" t="str">
        <f t="shared" si="8"/>
        <v>A</v>
      </c>
      <c r="S10" t="str">
        <f t="shared" si="9"/>
        <v>114-Meet</v>
      </c>
      <c r="T10" t="str">
        <f t="shared" si="10"/>
        <v>Meet</v>
      </c>
    </row>
    <row r="11" spans="1:20" ht="18" x14ac:dyDescent="0.5">
      <c r="A11" s="1">
        <v>105</v>
      </c>
      <c r="B11" s="2" t="s">
        <v>17</v>
      </c>
      <c r="C11" s="2" t="s">
        <v>44</v>
      </c>
      <c r="D11" s="1">
        <v>37</v>
      </c>
      <c r="E11" s="1">
        <v>51</v>
      </c>
      <c r="F11" s="1">
        <v>65</v>
      </c>
      <c r="G11" s="1">
        <v>79</v>
      </c>
      <c r="H11" s="1">
        <v>93</v>
      </c>
      <c r="I11" s="1">
        <v>18</v>
      </c>
      <c r="J11" s="3">
        <f t="shared" si="0"/>
        <v>325</v>
      </c>
      <c r="K11" s="3">
        <f t="shared" si="1"/>
        <v>65</v>
      </c>
      <c r="L11" s="4">
        <f t="shared" si="2"/>
        <v>0.65</v>
      </c>
      <c r="M11" s="3">
        <f t="shared" si="3"/>
        <v>37</v>
      </c>
      <c r="N11" s="3">
        <f t="shared" si="4"/>
        <v>93</v>
      </c>
      <c r="O11" t="str">
        <f t="shared" si="5"/>
        <v>om</v>
      </c>
      <c r="P11" t="str">
        <f t="shared" si="6"/>
        <v>OM</v>
      </c>
      <c r="Q11" t="str">
        <f t="shared" si="7"/>
        <v>Om</v>
      </c>
      <c r="R11" s="3" t="str">
        <f t="shared" si="8"/>
        <v>B+</v>
      </c>
      <c r="S11" t="str">
        <f t="shared" si="9"/>
        <v>105-Om</v>
      </c>
      <c r="T11" t="str">
        <f t="shared" si="10"/>
        <v>Om</v>
      </c>
    </row>
    <row r="12" spans="1:20" ht="18" x14ac:dyDescent="0.5">
      <c r="A12" s="1">
        <v>107</v>
      </c>
      <c r="B12" s="2" t="s">
        <v>18</v>
      </c>
      <c r="C12" s="2" t="s">
        <v>45</v>
      </c>
      <c r="D12" s="1">
        <v>39</v>
      </c>
      <c r="E12" s="1">
        <v>53</v>
      </c>
      <c r="F12" s="1">
        <v>67</v>
      </c>
      <c r="G12" s="1">
        <v>81</v>
      </c>
      <c r="H12" s="1">
        <v>95</v>
      </c>
      <c r="I12" s="1">
        <v>18</v>
      </c>
      <c r="J12" s="3">
        <f t="shared" si="0"/>
        <v>335</v>
      </c>
      <c r="K12" s="3">
        <f t="shared" si="1"/>
        <v>67</v>
      </c>
      <c r="L12" s="4">
        <f t="shared" si="2"/>
        <v>0.67</v>
      </c>
      <c r="M12" s="3">
        <f t="shared" si="3"/>
        <v>39</v>
      </c>
      <c r="N12" s="3">
        <f t="shared" si="4"/>
        <v>95</v>
      </c>
      <c r="O12" t="str">
        <f t="shared" si="5"/>
        <v>pujan</v>
      </c>
      <c r="P12" t="str">
        <f t="shared" si="6"/>
        <v>PUJAN</v>
      </c>
      <c r="Q12" t="str">
        <f t="shared" si="7"/>
        <v>Pujan</v>
      </c>
      <c r="R12" s="3" t="str">
        <f t="shared" si="8"/>
        <v>B+</v>
      </c>
      <c r="S12" t="str">
        <f t="shared" si="9"/>
        <v>107-Pujan</v>
      </c>
      <c r="T12" t="str">
        <f t="shared" si="10"/>
        <v>Pujan</v>
      </c>
    </row>
    <row r="13" spans="1:20" ht="18" x14ac:dyDescent="0.5">
      <c r="A13" s="1">
        <v>112</v>
      </c>
      <c r="B13" s="2" t="s">
        <v>19</v>
      </c>
      <c r="C13" s="2" t="s">
        <v>46</v>
      </c>
      <c r="D13" s="1">
        <v>44</v>
      </c>
      <c r="E13" s="1">
        <v>58</v>
      </c>
      <c r="F13" s="1">
        <v>72</v>
      </c>
      <c r="G13" s="1">
        <v>86</v>
      </c>
      <c r="H13" s="1">
        <v>100</v>
      </c>
      <c r="I13" s="1">
        <v>18</v>
      </c>
      <c r="J13" s="3">
        <f t="shared" si="0"/>
        <v>360</v>
      </c>
      <c r="K13" s="3">
        <f t="shared" si="1"/>
        <v>72</v>
      </c>
      <c r="L13" s="4">
        <f t="shared" si="2"/>
        <v>0.72</v>
      </c>
      <c r="M13" s="3">
        <f t="shared" si="3"/>
        <v>44</v>
      </c>
      <c r="N13" s="3">
        <f t="shared" si="4"/>
        <v>100</v>
      </c>
      <c r="O13" t="str">
        <f t="shared" si="5"/>
        <v>smit</v>
      </c>
      <c r="P13" t="str">
        <f t="shared" si="6"/>
        <v>SMIT</v>
      </c>
      <c r="Q13" t="str">
        <f t="shared" si="7"/>
        <v>Smit</v>
      </c>
      <c r="R13" s="3" t="str">
        <f t="shared" si="8"/>
        <v>A</v>
      </c>
      <c r="S13" t="str">
        <f t="shared" si="9"/>
        <v>112-Smit</v>
      </c>
      <c r="T13" t="str">
        <f t="shared" si="10"/>
        <v>Smit</v>
      </c>
    </row>
    <row r="14" spans="1:20" ht="18" x14ac:dyDescent="0.5">
      <c r="A14" s="1">
        <v>101</v>
      </c>
      <c r="B14" s="2" t="s">
        <v>20</v>
      </c>
      <c r="C14" s="2" t="s">
        <v>47</v>
      </c>
      <c r="D14" s="1">
        <v>33</v>
      </c>
      <c r="E14" s="1">
        <v>47</v>
      </c>
      <c r="F14" s="1">
        <v>61</v>
      </c>
      <c r="G14" s="1">
        <v>75</v>
      </c>
      <c r="H14" s="1">
        <v>89</v>
      </c>
      <c r="I14" s="1">
        <v>18</v>
      </c>
      <c r="J14" s="3">
        <f t="shared" si="0"/>
        <v>305</v>
      </c>
      <c r="K14" s="3">
        <f t="shared" si="1"/>
        <v>61</v>
      </c>
      <c r="L14" s="4">
        <f t="shared" si="2"/>
        <v>0.61</v>
      </c>
      <c r="M14" s="3">
        <f t="shared" si="3"/>
        <v>33</v>
      </c>
      <c r="N14" s="3">
        <f t="shared" si="4"/>
        <v>89</v>
      </c>
      <c r="O14" t="str">
        <f t="shared" si="5"/>
        <v>utsav</v>
      </c>
      <c r="P14" t="str">
        <f t="shared" si="6"/>
        <v>UTSAV</v>
      </c>
      <c r="Q14" t="str">
        <f t="shared" si="7"/>
        <v>Utsav</v>
      </c>
      <c r="R14" s="3" t="str">
        <f t="shared" si="8"/>
        <v>B+</v>
      </c>
      <c r="S14" t="str">
        <f t="shared" si="9"/>
        <v>101-Utsav</v>
      </c>
      <c r="T14" t="str">
        <f t="shared" si="10"/>
        <v>Utsav</v>
      </c>
    </row>
    <row r="15" spans="1:20" ht="18" x14ac:dyDescent="0.5">
      <c r="A15" s="1">
        <v>104</v>
      </c>
      <c r="B15" s="2" t="s">
        <v>21</v>
      </c>
      <c r="C15" s="2" t="s">
        <v>48</v>
      </c>
      <c r="D15" s="1">
        <v>36</v>
      </c>
      <c r="E15" s="1">
        <v>50</v>
      </c>
      <c r="F15" s="1">
        <v>64</v>
      </c>
      <c r="G15" s="1">
        <v>78</v>
      </c>
      <c r="H15" s="1">
        <v>92</v>
      </c>
      <c r="I15" s="1">
        <v>18</v>
      </c>
      <c r="J15" s="3">
        <f t="shared" si="0"/>
        <v>320</v>
      </c>
      <c r="K15" s="3">
        <f t="shared" si="1"/>
        <v>64</v>
      </c>
      <c r="L15" s="4">
        <f t="shared" si="2"/>
        <v>0.64</v>
      </c>
      <c r="M15" s="3">
        <f t="shared" si="3"/>
        <v>36</v>
      </c>
      <c r="N15" s="3">
        <f t="shared" si="4"/>
        <v>92</v>
      </c>
      <c r="O15" t="str">
        <f t="shared" si="5"/>
        <v>vraj</v>
      </c>
      <c r="P15" t="str">
        <f t="shared" si="6"/>
        <v>VRAJ</v>
      </c>
      <c r="Q15" t="str">
        <f t="shared" si="7"/>
        <v>Vraj</v>
      </c>
      <c r="R15" s="3" t="str">
        <f t="shared" si="8"/>
        <v>B+</v>
      </c>
      <c r="S15" t="str">
        <f t="shared" si="9"/>
        <v>104-Vraj</v>
      </c>
      <c r="T15" t="str">
        <f t="shared" si="10"/>
        <v>Vraj</v>
      </c>
    </row>
    <row r="16" spans="1:20" ht="18" x14ac:dyDescent="0.5">
      <c r="A16" s="1">
        <v>115</v>
      </c>
      <c r="B16" s="2" t="s">
        <v>22</v>
      </c>
      <c r="C16" s="2" t="s">
        <v>49</v>
      </c>
      <c r="D16" s="1">
        <v>50</v>
      </c>
      <c r="E16" s="1">
        <v>50</v>
      </c>
      <c r="F16" s="1">
        <v>50</v>
      </c>
      <c r="G16" s="1">
        <v>50</v>
      </c>
      <c r="H16" s="1">
        <v>50</v>
      </c>
      <c r="I16" s="1">
        <v>18</v>
      </c>
      <c r="J16" s="3">
        <f t="shared" si="0"/>
        <v>250</v>
      </c>
      <c r="K16" s="3">
        <f t="shared" si="1"/>
        <v>50</v>
      </c>
      <c r="L16" s="4">
        <f t="shared" si="2"/>
        <v>0.5</v>
      </c>
      <c r="M16" s="3">
        <f t="shared" si="3"/>
        <v>50</v>
      </c>
      <c r="N16" s="3">
        <f t="shared" si="4"/>
        <v>50</v>
      </c>
      <c r="O16" t="str">
        <f t="shared" si="5"/>
        <v>yug</v>
      </c>
      <c r="P16" t="str">
        <f t="shared" si="6"/>
        <v>YUG</v>
      </c>
      <c r="Q16" t="str">
        <f t="shared" si="7"/>
        <v>Yug</v>
      </c>
      <c r="R16" s="3" t="str">
        <f t="shared" si="8"/>
        <v>C</v>
      </c>
      <c r="S16" t="str">
        <f t="shared" si="9"/>
        <v>115-Yug</v>
      </c>
      <c r="T16" t="str">
        <f t="shared" si="10"/>
        <v>Yug</v>
      </c>
    </row>
    <row r="18" spans="3:4" ht="15" thickBot="1" x14ac:dyDescent="0.35"/>
    <row r="19" spans="3:4" ht="15" thickTop="1" x14ac:dyDescent="0.3">
      <c r="C19" s="10" t="s">
        <v>50</v>
      </c>
      <c r="D19" s="8">
        <f>COUNT(A2:A16)</f>
        <v>15</v>
      </c>
    </row>
    <row r="20" spans="3:4" x14ac:dyDescent="0.3">
      <c r="C20" s="9" t="s">
        <v>51</v>
      </c>
      <c r="D20" s="12">
        <f>COUNTA(B2:B16)</f>
        <v>15</v>
      </c>
    </row>
    <row r="21" spans="3:4" ht="15" thickBot="1" x14ac:dyDescent="0.35">
      <c r="C21" s="11" t="s">
        <v>52</v>
      </c>
      <c r="D21" s="13">
        <f>COUNTIF(J2:J16,"&gt;350")</f>
        <v>4</v>
      </c>
    </row>
    <row r="22" spans="3:4" ht="15" thickTop="1" x14ac:dyDescent="0.3"/>
  </sheetData>
  <dataValidations disablePrompts="1" count="1">
    <dataValidation type="whole" allowBlank="1" showInputMessage="1" showErrorMessage="1" errorTitle="Enter Marks Between 33 and 100" error="Enter Marks Between 33 and 100" promptTitle="Enter Marks" prompt="Between 33 and 100" sqref="D2:H16" xr:uid="{6DD0ACCF-B7DB-4B79-B651-CF53A95C248B}">
      <formula1>33</formula1>
      <formula2>100</formula2>
    </dataValidation>
  </dataValidations>
  <pageMargins left="0.7" right="0.7" top="0.75" bottom="0.75" header="0.3" footer="0.3"/>
  <pageSetup orientation="portrait" r:id="rId1"/>
  <headerFooter>
    <oddHeader>&amp;L&amp;G</oddHeader>
    <oddFooter>&amp;C&amp;P</oddFooter>
  </headerFooter>
  <ignoredErrors>
    <ignoredError sqref="J2:N16" formulaRange="1"/>
  </ignoredError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A5D4-6B05-4E49-BF81-E85F648A58D4}">
  <dimension ref="A1:H26"/>
  <sheetViews>
    <sheetView tabSelected="1" workbookViewId="0">
      <selection activeCell="I13" sqref="I13"/>
    </sheetView>
  </sheetViews>
  <sheetFormatPr defaultRowHeight="14.4" x14ac:dyDescent="0.3"/>
  <cols>
    <col min="1" max="1" width="11.6640625" customWidth="1"/>
    <col min="7" max="7" width="12.109375" customWidth="1"/>
  </cols>
  <sheetData>
    <row r="1" spans="1:8" x14ac:dyDescent="0.3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24</v>
      </c>
      <c r="H1" t="s">
        <v>30</v>
      </c>
    </row>
    <row r="2" spans="1:8" x14ac:dyDescent="0.3">
      <c r="A2">
        <v>101</v>
      </c>
      <c r="B2">
        <v>85</v>
      </c>
      <c r="C2">
        <v>78</v>
      </c>
      <c r="D2">
        <v>90</v>
      </c>
      <c r="E2">
        <v>88</v>
      </c>
      <c r="F2">
        <v>341</v>
      </c>
      <c r="G2">
        <v>85.25</v>
      </c>
      <c r="H2" t="s">
        <v>59</v>
      </c>
    </row>
    <row r="3" spans="1:8" x14ac:dyDescent="0.3">
      <c r="A3">
        <v>102</v>
      </c>
      <c r="B3">
        <v>65</v>
      </c>
      <c r="C3">
        <v>70</v>
      </c>
      <c r="D3">
        <v>60</v>
      </c>
      <c r="E3">
        <v>72</v>
      </c>
      <c r="F3">
        <v>267</v>
      </c>
      <c r="G3">
        <v>66.75</v>
      </c>
      <c r="H3" t="s">
        <v>60</v>
      </c>
    </row>
    <row r="4" spans="1:8" x14ac:dyDescent="0.3">
      <c r="A4">
        <v>103</v>
      </c>
      <c r="B4">
        <v>92</v>
      </c>
      <c r="C4">
        <v>89</v>
      </c>
      <c r="D4">
        <v>95</v>
      </c>
      <c r="E4">
        <v>94</v>
      </c>
      <c r="F4">
        <v>370</v>
      </c>
      <c r="G4">
        <v>92.5</v>
      </c>
      <c r="H4" t="s">
        <v>61</v>
      </c>
    </row>
    <row r="5" spans="1:8" x14ac:dyDescent="0.3">
      <c r="A5">
        <v>104</v>
      </c>
      <c r="B5">
        <v>55</v>
      </c>
      <c r="C5">
        <v>60</v>
      </c>
      <c r="D5">
        <v>58</v>
      </c>
      <c r="E5">
        <v>62</v>
      </c>
      <c r="F5">
        <v>235</v>
      </c>
      <c r="G5">
        <v>58.75</v>
      </c>
      <c r="H5" t="s">
        <v>62</v>
      </c>
    </row>
    <row r="6" spans="1:8" x14ac:dyDescent="0.3">
      <c r="A6">
        <v>105</v>
      </c>
      <c r="B6">
        <v>75</v>
      </c>
      <c r="C6">
        <v>80</v>
      </c>
      <c r="D6">
        <v>78</v>
      </c>
      <c r="E6">
        <v>82</v>
      </c>
      <c r="F6">
        <v>315</v>
      </c>
      <c r="G6">
        <v>78.7</v>
      </c>
      <c r="H6" t="s">
        <v>63</v>
      </c>
    </row>
    <row r="9" spans="1:8" x14ac:dyDescent="0.3">
      <c r="A9" t="s">
        <v>64</v>
      </c>
      <c r="B9">
        <v>101</v>
      </c>
      <c r="C9">
        <v>102</v>
      </c>
      <c r="D9">
        <v>103</v>
      </c>
      <c r="E9">
        <v>104</v>
      </c>
      <c r="F9">
        <v>105</v>
      </c>
    </row>
    <row r="10" spans="1:8" x14ac:dyDescent="0.3">
      <c r="A10" t="s">
        <v>54</v>
      </c>
      <c r="B10">
        <f>VLOOKUP(B9,$A$1:$H$6,2,FALSE)</f>
        <v>85</v>
      </c>
      <c r="C10">
        <f>VLOOKUP(C9,$A$1:$H$6,2,FALSE)</f>
        <v>65</v>
      </c>
      <c r="D10">
        <f t="shared" ref="D10:F10" si="0">VLOOKUP(D9,$A$1:$H$6,2,FALSE)</f>
        <v>92</v>
      </c>
      <c r="E10">
        <f t="shared" si="0"/>
        <v>55</v>
      </c>
      <c r="F10">
        <f t="shared" si="0"/>
        <v>75</v>
      </c>
    </row>
    <row r="11" spans="1:8" x14ac:dyDescent="0.3">
      <c r="A11" t="s">
        <v>55</v>
      </c>
      <c r="B11">
        <f>VLOOKUP(B9,$A$1:$H$6,3,FALSE)</f>
        <v>78</v>
      </c>
      <c r="C11">
        <f t="shared" ref="C11:F11" si="1">VLOOKUP(C9,$A$1:$H$6,3,FALSE)</f>
        <v>70</v>
      </c>
      <c r="D11">
        <f t="shared" si="1"/>
        <v>89</v>
      </c>
      <c r="E11">
        <f t="shared" si="1"/>
        <v>60</v>
      </c>
      <c r="F11">
        <f t="shared" si="1"/>
        <v>80</v>
      </c>
    </row>
    <row r="12" spans="1:8" x14ac:dyDescent="0.3">
      <c r="A12" t="s">
        <v>56</v>
      </c>
      <c r="B12">
        <f>VLOOKUP(B9,$A$1:$H$6,4,FALSE)</f>
        <v>90</v>
      </c>
      <c r="C12">
        <f t="shared" ref="C12:F12" si="2">VLOOKUP(C9,$A$1:$H$6,4,FALSE)</f>
        <v>60</v>
      </c>
      <c r="D12">
        <f t="shared" si="2"/>
        <v>95</v>
      </c>
      <c r="E12">
        <f t="shared" si="2"/>
        <v>58</v>
      </c>
      <c r="F12">
        <f t="shared" si="2"/>
        <v>78</v>
      </c>
    </row>
    <row r="13" spans="1:8" x14ac:dyDescent="0.3">
      <c r="A13" t="s">
        <v>57</v>
      </c>
      <c r="B13">
        <f>VLOOKUP(B9,$A$1:$H$6,5,FALSE)</f>
        <v>88</v>
      </c>
      <c r="C13">
        <f t="shared" ref="C13:F13" si="3">VLOOKUP(C9,$A$1:$H$6,5,FALSE)</f>
        <v>72</v>
      </c>
      <c r="D13">
        <f t="shared" si="3"/>
        <v>94</v>
      </c>
      <c r="E13">
        <f t="shared" si="3"/>
        <v>62</v>
      </c>
      <c r="F13">
        <f t="shared" si="3"/>
        <v>82</v>
      </c>
    </row>
    <row r="14" spans="1:8" x14ac:dyDescent="0.3">
      <c r="A14" t="s">
        <v>58</v>
      </c>
      <c r="B14">
        <f>SUM(B10:B13)</f>
        <v>341</v>
      </c>
      <c r="C14">
        <f t="shared" ref="C14:F14" si="4">SUM(C10:C13)</f>
        <v>267</v>
      </c>
      <c r="D14">
        <f t="shared" si="4"/>
        <v>370</v>
      </c>
      <c r="E14">
        <f t="shared" si="4"/>
        <v>235</v>
      </c>
      <c r="F14">
        <f t="shared" si="4"/>
        <v>315</v>
      </c>
    </row>
    <row r="15" spans="1:8" x14ac:dyDescent="0.3">
      <c r="A15" t="s">
        <v>24</v>
      </c>
      <c r="B15">
        <f>B14/4</f>
        <v>85.25</v>
      </c>
      <c r="C15">
        <f t="shared" ref="C15:F15" si="5">C14/4</f>
        <v>66.75</v>
      </c>
      <c r="D15">
        <f t="shared" si="5"/>
        <v>92.5</v>
      </c>
      <c r="E15">
        <f t="shared" si="5"/>
        <v>58.75</v>
      </c>
      <c r="F15">
        <f t="shared" si="5"/>
        <v>78.75</v>
      </c>
    </row>
    <row r="16" spans="1:8" x14ac:dyDescent="0.3">
      <c r="A16" t="s">
        <v>30</v>
      </c>
      <c r="B16" s="3" t="s">
        <v>59</v>
      </c>
      <c r="C16" s="3" t="s">
        <v>60</v>
      </c>
      <c r="D16" s="3" t="s">
        <v>61</v>
      </c>
      <c r="E16" s="3" t="s">
        <v>62</v>
      </c>
      <c r="F16" s="3" t="s">
        <v>63</v>
      </c>
    </row>
    <row r="19" spans="1:6" x14ac:dyDescent="0.3">
      <c r="A19" t="s">
        <v>64</v>
      </c>
      <c r="B19">
        <v>101</v>
      </c>
      <c r="C19">
        <v>102</v>
      </c>
      <c r="D19">
        <v>103</v>
      </c>
      <c r="E19">
        <v>104</v>
      </c>
      <c r="F19">
        <v>105</v>
      </c>
    </row>
    <row r="20" spans="1:6" x14ac:dyDescent="0.3">
      <c r="A20" t="s">
        <v>54</v>
      </c>
      <c r="B20">
        <f>HLOOKUP(A20,$A$1:$H$6,2,FALSE)</f>
        <v>85</v>
      </c>
      <c r="C20">
        <f>HLOOKUP(A20,$A$1:$H$6,3,FALSE)</f>
        <v>65</v>
      </c>
      <c r="D20">
        <f>HLOOKUP(A20,$A$1:$H$6,4,FALSE)</f>
        <v>92</v>
      </c>
      <c r="E20">
        <f>HLOOKUP(A20,$A$1:$H$6,5,FALSE)</f>
        <v>55</v>
      </c>
      <c r="F20">
        <f>HLOOKUP(A20,$A$1:$H$6,6,FALSE)</f>
        <v>75</v>
      </c>
    </row>
    <row r="21" spans="1:6" x14ac:dyDescent="0.3">
      <c r="A21" t="s">
        <v>55</v>
      </c>
      <c r="B21">
        <f t="shared" ref="B21:B26" si="6">HLOOKUP(A21,$A$1:$H$6,2,FALSE)</f>
        <v>78</v>
      </c>
      <c r="C21">
        <f t="shared" ref="C21:C26" si="7">HLOOKUP(A21,$A$1:$H$6,3,FALSE)</f>
        <v>70</v>
      </c>
      <c r="D21">
        <f t="shared" ref="D21:D26" si="8">HLOOKUP(A21,$A$1:$H$6,4,FALSE)</f>
        <v>89</v>
      </c>
      <c r="E21">
        <f t="shared" ref="E21:E26" si="9">HLOOKUP(A21,$A$1:$H$6,5,FALSE)</f>
        <v>60</v>
      </c>
      <c r="F21">
        <f t="shared" ref="F21:F26" si="10">HLOOKUP(A21,$A$1:$H$6,6,FALSE)</f>
        <v>80</v>
      </c>
    </row>
    <row r="22" spans="1:6" x14ac:dyDescent="0.3">
      <c r="A22" t="s">
        <v>56</v>
      </c>
      <c r="B22">
        <f t="shared" si="6"/>
        <v>90</v>
      </c>
      <c r="C22">
        <f t="shared" si="7"/>
        <v>60</v>
      </c>
      <c r="D22">
        <f t="shared" si="8"/>
        <v>95</v>
      </c>
      <c r="E22">
        <f t="shared" si="9"/>
        <v>58</v>
      </c>
      <c r="F22">
        <f t="shared" si="10"/>
        <v>78</v>
      </c>
    </row>
    <row r="23" spans="1:6" x14ac:dyDescent="0.3">
      <c r="A23" t="s">
        <v>57</v>
      </c>
      <c r="B23">
        <f t="shared" si="6"/>
        <v>88</v>
      </c>
      <c r="C23">
        <f t="shared" si="7"/>
        <v>72</v>
      </c>
      <c r="D23">
        <f t="shared" si="8"/>
        <v>94</v>
      </c>
      <c r="E23">
        <f t="shared" si="9"/>
        <v>62</v>
      </c>
      <c r="F23">
        <f t="shared" si="10"/>
        <v>82</v>
      </c>
    </row>
    <row r="24" spans="1:6" x14ac:dyDescent="0.3">
      <c r="A24" t="s">
        <v>58</v>
      </c>
      <c r="B24">
        <f t="shared" si="6"/>
        <v>341</v>
      </c>
      <c r="C24">
        <f t="shared" si="7"/>
        <v>267</v>
      </c>
      <c r="D24">
        <f t="shared" si="8"/>
        <v>370</v>
      </c>
      <c r="E24">
        <f t="shared" si="9"/>
        <v>235</v>
      </c>
      <c r="F24">
        <f t="shared" si="10"/>
        <v>315</v>
      </c>
    </row>
    <row r="25" spans="1:6" x14ac:dyDescent="0.3">
      <c r="A25" t="s">
        <v>24</v>
      </c>
      <c r="B25">
        <f t="shared" si="6"/>
        <v>85.25</v>
      </c>
      <c r="C25">
        <f t="shared" si="7"/>
        <v>66.75</v>
      </c>
      <c r="D25">
        <f t="shared" si="8"/>
        <v>92.5</v>
      </c>
      <c r="E25">
        <f t="shared" si="9"/>
        <v>58.75</v>
      </c>
      <c r="F25">
        <f t="shared" si="10"/>
        <v>78.7</v>
      </c>
    </row>
    <row r="26" spans="1:6" x14ac:dyDescent="0.3">
      <c r="A26" t="s">
        <v>30</v>
      </c>
      <c r="B26" s="3" t="str">
        <f t="shared" si="6"/>
        <v>A</v>
      </c>
      <c r="C26" s="3" t="str">
        <f t="shared" si="7"/>
        <v>B</v>
      </c>
      <c r="D26" s="3" t="str">
        <f t="shared" si="8"/>
        <v>A+</v>
      </c>
      <c r="E26" s="3" t="str">
        <f t="shared" si="9"/>
        <v>C</v>
      </c>
      <c r="F26" s="3" t="str">
        <f t="shared" si="10"/>
        <v>B+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Henish Palsana</cp:lastModifiedBy>
  <dcterms:created xsi:type="dcterms:W3CDTF">2026-07-29T04:35:13Z</dcterms:created>
  <dcterms:modified xsi:type="dcterms:W3CDTF">2026-09-09T13:18:13Z</dcterms:modified>
</cp:coreProperties>
</file>