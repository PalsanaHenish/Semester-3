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0dc0608744e6982/Documents/Sem - 3/OAT/OAT_Practical/"/>
    </mc:Choice>
  </mc:AlternateContent>
  <xr:revisionPtr revIDLastSave="125" documentId="8_{F4D8D074-B0E0-4BCE-90EB-B5043960FA25}" xr6:coauthVersionLast="47" xr6:coauthVersionMax="47" xr10:uidLastSave="{6FFEAB7B-FB0C-4320-B28B-9606F504BE5C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pivotCaches>
    <pivotCache cacheId="1" r:id="rId3"/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K2" i="1"/>
  <c r="I2" i="1"/>
  <c r="H2" i="1"/>
  <c r="G2" i="1"/>
</calcChain>
</file>

<file path=xl/sharedStrings.xml><?xml version="1.0" encoding="utf-8"?>
<sst xmlns="http://schemas.openxmlformats.org/spreadsheetml/2006/main" count="129" uniqueCount="58">
  <si>
    <t>Name</t>
  </si>
  <si>
    <t>Age</t>
  </si>
  <si>
    <t>Department</t>
  </si>
  <si>
    <t>Salary</t>
  </si>
  <si>
    <t>Experience</t>
  </si>
  <si>
    <t>Sales</t>
  </si>
  <si>
    <t>Aarav Sharma</t>
  </si>
  <si>
    <t>Priya Patel</t>
  </si>
  <si>
    <t>Marketing</t>
  </si>
  <si>
    <t>Rohan Gupta</t>
  </si>
  <si>
    <t>IT</t>
  </si>
  <si>
    <t>Neha Singh</t>
  </si>
  <si>
    <t>Amit Kumar</t>
  </si>
  <si>
    <t>Finance</t>
  </si>
  <si>
    <t>Pooja Mehta</t>
  </si>
  <si>
    <t>HR</t>
  </si>
  <si>
    <t>Rahul Verma</t>
  </si>
  <si>
    <t>Ananya Roy</t>
  </si>
  <si>
    <t>Vikram Joshi</t>
  </si>
  <si>
    <t>Sneha Das</t>
  </si>
  <si>
    <t>Manish Tiwari</t>
  </si>
  <si>
    <t>Divya Nair</t>
  </si>
  <si>
    <t>Karan Malhotra</t>
  </si>
  <si>
    <t>Ritu Sen</t>
  </si>
  <si>
    <t>Alok Pandey</t>
  </si>
  <si>
    <t>Tanvi Kulkarni</t>
  </si>
  <si>
    <t>Nitin Rao</t>
  </si>
  <si>
    <t>Megha Iyer</t>
  </si>
  <si>
    <t>Sandeep Pillai</t>
  </si>
  <si>
    <t>Kiran Ghosh</t>
  </si>
  <si>
    <t>Swati Deshmukh</t>
  </si>
  <si>
    <t>Deepak Chopra</t>
  </si>
  <si>
    <t>Jyoti Nambiar</t>
  </si>
  <si>
    <t>Manoj Kothari</t>
  </si>
  <si>
    <t>Shalini Menon</t>
  </si>
  <si>
    <t>Varun Bajaj</t>
  </si>
  <si>
    <t>Nidhi Agarwal</t>
  </si>
  <si>
    <t>Rajeshwari</t>
  </si>
  <si>
    <t>Tarun Khanna</t>
  </si>
  <si>
    <t>Bhavna Shah</t>
  </si>
  <si>
    <t>Count</t>
  </si>
  <si>
    <t>CountIf</t>
  </si>
  <si>
    <t>SumIf</t>
  </si>
  <si>
    <t>Grade</t>
  </si>
  <si>
    <t>Row Labels</t>
  </si>
  <si>
    <t>Grand Total</t>
  </si>
  <si>
    <t>Sum of Salary</t>
  </si>
  <si>
    <t xml:space="preserve">Region </t>
  </si>
  <si>
    <t>Product</t>
  </si>
  <si>
    <t>North</t>
  </si>
  <si>
    <t>Laptop</t>
  </si>
  <si>
    <t>Sum of Sales</t>
  </si>
  <si>
    <t>South</t>
  </si>
  <si>
    <t>Mobile</t>
  </si>
  <si>
    <t>East</t>
  </si>
  <si>
    <t>Tablet</t>
  </si>
  <si>
    <t>West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</si>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</sst>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168-4670-ACBC-6A48DE1752F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168-4670-ACBC-6A48DE1752F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168-4670-ACBC-6A48DE1752F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168-4670-ACBC-6A48DE1752F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168-4670-ACBC-6A48DE1752F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168-4670-ACBC-6A48DE1752F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168-4670-ACBC-6A48DE1752F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168-4670-ACBC-6A48DE1752F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168-4670-ACBC-6A48DE1752F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168-4670-ACBC-6A48DE1752F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168-4670-ACBC-6A48DE1752F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168-4670-ACBC-6A48DE1752F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168-4670-ACBC-6A48DE1752F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4168-4670-ACBC-6A48DE1752F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4168-4670-ACBC-6A48DE1752F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4168-4670-ACBC-6A48DE1752F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4168-4670-ACBC-6A48DE1752F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4168-4670-ACBC-6A48DE1752F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4168-4670-ACBC-6A48DE1752F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4168-4670-ACBC-6A48DE1752F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4168-4670-ACBC-6A48DE1752F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4168-4670-ACBC-6A48DE1752F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4168-4670-ACBC-6A48DE1752F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4168-4670-ACBC-6A48DE1752F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4168-4670-ACBC-6A48DE1752F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4168-4670-ACBC-6A48DE1752F9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4168-4670-ACBC-6A48DE1752F9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4168-4670-ACBC-6A48DE1752F9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4168-4670-ACBC-6A48DE1752F9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4168-4670-ACBC-6A48DE1752F9}"/>
              </c:ext>
            </c:extLst>
          </c:dPt>
          <c:cat>
            <c:strRef>
              <c:f>Sheet1!$C$2:$C$31</c:f>
              <c:strCache>
                <c:ptCount val="30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Sales</c:v>
                </c:pt>
                <c:pt idx="4">
                  <c:v>Finance</c:v>
                </c:pt>
                <c:pt idx="5">
                  <c:v>HR</c:v>
                </c:pt>
                <c:pt idx="6">
                  <c:v>IT</c:v>
                </c:pt>
                <c:pt idx="7">
                  <c:v>Sales</c:v>
                </c:pt>
                <c:pt idx="8">
                  <c:v>Marketing</c:v>
                </c:pt>
                <c:pt idx="9">
                  <c:v>HR</c:v>
                </c:pt>
                <c:pt idx="10">
                  <c:v>Finance</c:v>
                </c:pt>
                <c:pt idx="11">
                  <c:v>Sales</c:v>
                </c:pt>
                <c:pt idx="12">
                  <c:v>IT</c:v>
                </c:pt>
                <c:pt idx="13">
                  <c:v>Marketing</c:v>
                </c:pt>
                <c:pt idx="14">
                  <c:v>Sales</c:v>
                </c:pt>
                <c:pt idx="15">
                  <c:v>Finance</c:v>
                </c:pt>
                <c:pt idx="16">
                  <c:v>HR</c:v>
                </c:pt>
                <c:pt idx="17">
                  <c:v>Sales</c:v>
                </c:pt>
                <c:pt idx="18">
                  <c:v>IT</c:v>
                </c:pt>
                <c:pt idx="19">
                  <c:v>Marketing</c:v>
                </c:pt>
                <c:pt idx="20">
                  <c:v>Finance</c:v>
                </c:pt>
                <c:pt idx="21">
                  <c:v>Sales</c:v>
                </c:pt>
                <c:pt idx="22">
                  <c:v>HR</c:v>
                </c:pt>
                <c:pt idx="23">
                  <c:v>IT</c:v>
                </c:pt>
                <c:pt idx="24">
                  <c:v>Sales</c:v>
                </c:pt>
                <c:pt idx="25">
                  <c:v>Marketing</c:v>
                </c:pt>
                <c:pt idx="26">
                  <c:v>Finance</c:v>
                </c:pt>
                <c:pt idx="27">
                  <c:v>HR</c:v>
                </c:pt>
                <c:pt idx="28">
                  <c:v>Sales</c:v>
                </c:pt>
                <c:pt idx="29">
                  <c:v>Marketing</c:v>
                </c:pt>
              </c:strCache>
            </c:strRef>
          </c:cat>
          <c:val>
            <c:numRef>
              <c:f>Sheet1!$D$2:$D$31</c:f>
              <c:numCache>
                <c:formatCode>General</c:formatCode>
                <c:ptCount val="30"/>
                <c:pt idx="0">
                  <c:v>45000</c:v>
                </c:pt>
                <c:pt idx="1">
                  <c:v>52000</c:v>
                </c:pt>
                <c:pt idx="2">
                  <c:v>78000</c:v>
                </c:pt>
                <c:pt idx="3">
                  <c:v>41000</c:v>
                </c:pt>
                <c:pt idx="4">
                  <c:v>67000</c:v>
                </c:pt>
                <c:pt idx="5">
                  <c:v>49000</c:v>
                </c:pt>
                <c:pt idx="6">
                  <c:v>92000</c:v>
                </c:pt>
                <c:pt idx="7">
                  <c:v>46000</c:v>
                </c:pt>
                <c:pt idx="8">
                  <c:v>58000</c:v>
                </c:pt>
                <c:pt idx="9">
                  <c:v>38000</c:v>
                </c:pt>
                <c:pt idx="10">
                  <c:v>61000</c:v>
                </c:pt>
                <c:pt idx="11">
                  <c:v>48000</c:v>
                </c:pt>
                <c:pt idx="12">
                  <c:v>85000</c:v>
                </c:pt>
                <c:pt idx="13">
                  <c:v>55000</c:v>
                </c:pt>
                <c:pt idx="14">
                  <c:v>42000</c:v>
                </c:pt>
                <c:pt idx="15">
                  <c:v>69000</c:v>
                </c:pt>
                <c:pt idx="16">
                  <c:v>50000</c:v>
                </c:pt>
                <c:pt idx="17">
                  <c:v>39000</c:v>
                </c:pt>
                <c:pt idx="18">
                  <c:v>95000</c:v>
                </c:pt>
                <c:pt idx="19">
                  <c:v>53000</c:v>
                </c:pt>
                <c:pt idx="20">
                  <c:v>59000</c:v>
                </c:pt>
                <c:pt idx="21">
                  <c:v>64000</c:v>
                </c:pt>
                <c:pt idx="22">
                  <c:v>47000</c:v>
                </c:pt>
                <c:pt idx="23">
                  <c:v>88000</c:v>
                </c:pt>
                <c:pt idx="24">
                  <c:v>49000</c:v>
                </c:pt>
                <c:pt idx="25">
                  <c:v>44000</c:v>
                </c:pt>
                <c:pt idx="26">
                  <c:v>66000</c:v>
                </c:pt>
                <c:pt idx="27">
                  <c:v>72000</c:v>
                </c:pt>
                <c:pt idx="28">
                  <c:v>47000</c:v>
                </c:pt>
                <c:pt idx="29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B-4E99-8CFC-2684A655A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Sheet1!$C$2:$C$31</c:f>
              <c:strCache>
                <c:ptCount val="30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Sales</c:v>
                </c:pt>
                <c:pt idx="4">
                  <c:v>Finance</c:v>
                </c:pt>
                <c:pt idx="5">
                  <c:v>HR</c:v>
                </c:pt>
                <c:pt idx="6">
                  <c:v>IT</c:v>
                </c:pt>
                <c:pt idx="7">
                  <c:v>Sales</c:v>
                </c:pt>
                <c:pt idx="8">
                  <c:v>Marketing</c:v>
                </c:pt>
                <c:pt idx="9">
                  <c:v>HR</c:v>
                </c:pt>
                <c:pt idx="10">
                  <c:v>Finance</c:v>
                </c:pt>
                <c:pt idx="11">
                  <c:v>Sales</c:v>
                </c:pt>
                <c:pt idx="12">
                  <c:v>IT</c:v>
                </c:pt>
                <c:pt idx="13">
                  <c:v>Marketing</c:v>
                </c:pt>
                <c:pt idx="14">
                  <c:v>Sales</c:v>
                </c:pt>
                <c:pt idx="15">
                  <c:v>Finance</c:v>
                </c:pt>
                <c:pt idx="16">
                  <c:v>HR</c:v>
                </c:pt>
                <c:pt idx="17">
                  <c:v>Sales</c:v>
                </c:pt>
                <c:pt idx="18">
                  <c:v>IT</c:v>
                </c:pt>
                <c:pt idx="19">
                  <c:v>Marketing</c:v>
                </c:pt>
                <c:pt idx="20">
                  <c:v>Finance</c:v>
                </c:pt>
                <c:pt idx="21">
                  <c:v>Sales</c:v>
                </c:pt>
                <c:pt idx="22">
                  <c:v>HR</c:v>
                </c:pt>
                <c:pt idx="23">
                  <c:v>IT</c:v>
                </c:pt>
                <c:pt idx="24">
                  <c:v>Sales</c:v>
                </c:pt>
                <c:pt idx="25">
                  <c:v>Marketing</c:v>
                </c:pt>
                <c:pt idx="26">
                  <c:v>Finance</c:v>
                </c:pt>
                <c:pt idx="27">
                  <c:v>HR</c:v>
                </c:pt>
                <c:pt idx="28">
                  <c:v>Sales</c:v>
                </c:pt>
                <c:pt idx="29">
                  <c:v>Marketing</c:v>
                </c:pt>
              </c:strCache>
            </c:strRef>
          </c:cat>
          <c:val>
            <c:numRef>
              <c:f>Sheet1!$D$2:$D$31</c:f>
              <c:numCache>
                <c:formatCode>General</c:formatCode>
                <c:ptCount val="30"/>
                <c:pt idx="0">
                  <c:v>45000</c:v>
                </c:pt>
                <c:pt idx="1">
                  <c:v>52000</c:v>
                </c:pt>
                <c:pt idx="2">
                  <c:v>78000</c:v>
                </c:pt>
                <c:pt idx="3">
                  <c:v>41000</c:v>
                </c:pt>
                <c:pt idx="4">
                  <c:v>67000</c:v>
                </c:pt>
                <c:pt idx="5">
                  <c:v>49000</c:v>
                </c:pt>
                <c:pt idx="6">
                  <c:v>92000</c:v>
                </c:pt>
                <c:pt idx="7">
                  <c:v>46000</c:v>
                </c:pt>
                <c:pt idx="8">
                  <c:v>58000</c:v>
                </c:pt>
                <c:pt idx="9">
                  <c:v>38000</c:v>
                </c:pt>
                <c:pt idx="10">
                  <c:v>61000</c:v>
                </c:pt>
                <c:pt idx="11">
                  <c:v>48000</c:v>
                </c:pt>
                <c:pt idx="12">
                  <c:v>85000</c:v>
                </c:pt>
                <c:pt idx="13">
                  <c:v>55000</c:v>
                </c:pt>
                <c:pt idx="14">
                  <c:v>42000</c:v>
                </c:pt>
                <c:pt idx="15">
                  <c:v>69000</c:v>
                </c:pt>
                <c:pt idx="16">
                  <c:v>50000</c:v>
                </c:pt>
                <c:pt idx="17">
                  <c:v>39000</c:v>
                </c:pt>
                <c:pt idx="18">
                  <c:v>95000</c:v>
                </c:pt>
                <c:pt idx="19">
                  <c:v>53000</c:v>
                </c:pt>
                <c:pt idx="20">
                  <c:v>59000</c:v>
                </c:pt>
                <c:pt idx="21">
                  <c:v>64000</c:v>
                </c:pt>
                <c:pt idx="22">
                  <c:v>47000</c:v>
                </c:pt>
                <c:pt idx="23">
                  <c:v>88000</c:v>
                </c:pt>
                <c:pt idx="24">
                  <c:v>49000</c:v>
                </c:pt>
                <c:pt idx="25">
                  <c:v>44000</c:v>
                </c:pt>
                <c:pt idx="26">
                  <c:v>66000</c:v>
                </c:pt>
                <c:pt idx="27">
                  <c:v>72000</c:v>
                </c:pt>
                <c:pt idx="28">
                  <c:v>47000</c:v>
                </c:pt>
                <c:pt idx="29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A-4D78-8E7C-7747E9707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585199"/>
        <c:axId val="1032774607"/>
      </c:lineChart>
      <c:catAx>
        <c:axId val="919585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774607"/>
        <c:crosses val="autoZero"/>
        <c:auto val="1"/>
        <c:lblAlgn val="ctr"/>
        <c:lblOffset val="100"/>
        <c:noMultiLvlLbl val="0"/>
      </c:catAx>
      <c:valAx>
        <c:axId val="10327746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322000</c:v>
              </c:pt>
              <c:pt idx="1">
                <c:v>256000</c:v>
              </c:pt>
              <c:pt idx="2">
                <c:v>438000</c:v>
              </c:pt>
              <c:pt idx="3">
                <c:v>322000</c:v>
              </c:pt>
              <c:pt idx="4">
                <c:v>421000</c:v>
              </c:pt>
            </c:numLit>
          </c:val>
          <c:extLst>
            <c:ext xmlns:c16="http://schemas.microsoft.com/office/drawing/2014/chart" uri="{C3380CC4-5D6E-409C-BE32-E72D297353CC}">
              <c16:uniqueId val="{00000000-F591-4A9A-83CB-1F4F84223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97434895"/>
        <c:axId val="1032794767"/>
      </c:barChart>
      <c:catAx>
        <c:axId val="1097434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794767"/>
        <c:crosses val="autoZero"/>
        <c:auto val="1"/>
        <c:lblAlgn val="ctr"/>
        <c:lblOffset val="100"/>
        <c:noMultiLvlLbl val="0"/>
      </c:catAx>
      <c:valAx>
        <c:axId val="10327947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3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68748</xdr:colOff>
      <xdr:row>2</xdr:row>
      <xdr:rowOff>64050</xdr:rowOff>
    </xdr:from>
    <xdr:to>
      <xdr:col>17</xdr:col>
      <xdr:colOff>272560</xdr:colOff>
      <xdr:row>17</xdr:row>
      <xdr:rowOff>117838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F8631-9785-AD50-76C5-598FB1615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68532</xdr:colOff>
      <xdr:row>17</xdr:row>
      <xdr:rowOff>126370</xdr:rowOff>
    </xdr:from>
    <xdr:to>
      <xdr:col>17</xdr:col>
      <xdr:colOff>272344</xdr:colOff>
      <xdr:row>32</xdr:row>
      <xdr:rowOff>180158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E60EC6-A9EA-719F-79A3-EC932F374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292028</xdr:colOff>
      <xdr:row>2</xdr:row>
      <xdr:rowOff>68090</xdr:rowOff>
    </xdr:from>
    <xdr:to>
      <xdr:col>24</xdr:col>
      <xdr:colOff>593156</xdr:colOff>
      <xdr:row>17</xdr:row>
      <xdr:rowOff>123076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274DDF-6D75-472D-A0FF-60BAC5F8F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ractical_9_108(Pivot%20Table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ish Palsana" refreshedDate="46239.470422916667" createdVersion="8" refreshedVersion="8" minRefreshableVersion="3" recordCount="30" xr:uid="{8D4296C9-D344-4244-9515-934B0CE5E8C3}">
  <cacheSource type="worksheet">
    <worksheetSource ref="A1:K31" sheet="Sheet1"/>
  </cacheSource>
  <cacheFields count="11">
    <cacheField name="Name" numFmtId="0">
      <sharedItems/>
    </cacheField>
    <cacheField name="Age" numFmtId="0">
      <sharedItems containsSemiMixedTypes="0" containsString="0" containsNumber="1" containsInteger="1" minValue="24" maxValue="48"/>
    </cacheField>
    <cacheField name="Department" numFmtId="0">
      <sharedItems count="5">
        <s v="Sales"/>
        <s v="Marketing"/>
        <s v="IT"/>
        <s v="Finance"/>
        <s v="HR"/>
      </sharedItems>
    </cacheField>
    <cacheField name="Salary" numFmtId="0">
      <sharedItems containsSemiMixedTypes="0" containsString="0" containsNumber="1" containsInteger="1" minValue="38000" maxValue="95000"/>
    </cacheField>
    <cacheField name="Experience" numFmtId="0">
      <sharedItems containsSemiMixedTypes="0" containsString="0" containsNumber="1" containsInteger="1" minValue="1" maxValue="22"/>
    </cacheField>
    <cacheField name="Sales" numFmtId="0">
      <sharedItems containsSemiMixedTypes="0" containsString="0" containsNumber="1" containsInteger="1" minValue="0" maxValue="195000"/>
    </cacheField>
    <cacheField name="Count" numFmtId="0">
      <sharedItems containsString="0" containsBlank="1" containsNumber="1" containsInteger="1" minValue="30" maxValue="30"/>
    </cacheField>
    <cacheField name="CountIf" numFmtId="0">
      <sharedItems containsString="0" containsBlank="1" containsNumber="1" containsInteger="1" minValue="5" maxValue="5"/>
    </cacheField>
    <cacheField name="SumIf" numFmtId="0">
      <sharedItems containsString="0" containsBlank="1" containsNumber="1" containsInteger="1" minValue="322000" maxValue="322000"/>
    </cacheField>
    <cacheField name="Grade" numFmtId="0">
      <sharedItems/>
    </cacheField>
    <cacheField name="CountIf2" numFmtId="0">
      <sharedItems containsString="0" containsBlank="1" containsNumber="1" containsInteger="1" minValue="17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ish Palsana" refreshedDate="46239.453664004628" createdVersion="8" refreshedVersion="8" minRefreshableVersion="3" recordCount="11" xr:uid="{3A75F7D6-2BC8-48A4-B813-FB0BD8E0ED75}">
  <cacheSource type="worksheet">
    <worksheetSource ref="A1:C12" sheet="Sheet1" r:id="rId2"/>
  </cacheSource>
  <cacheFields count="3">
    <cacheField name="Region 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3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Aarav Sharma"/>
    <n v="28"/>
    <x v="0"/>
    <n v="45000"/>
    <n v="3"/>
    <n v="120500"/>
    <n v="30"/>
    <n v="5"/>
    <n v="322000"/>
    <s v="Distinction"/>
    <n v="17"/>
  </r>
  <r>
    <s v="Priya Patel"/>
    <n v="34"/>
    <x v="1"/>
    <n v="52000"/>
    <n v="6"/>
    <n v="98000"/>
    <m/>
    <m/>
    <m/>
    <s v="Distinction"/>
    <m/>
  </r>
  <r>
    <s v="Rohan Gupta"/>
    <n v="41"/>
    <x v="2"/>
    <n v="78000"/>
    <n v="12"/>
    <n v="0"/>
    <m/>
    <m/>
    <m/>
    <s v="Poor"/>
    <m/>
  </r>
  <r>
    <s v="Neha Singh"/>
    <n v="26"/>
    <x v="0"/>
    <n v="41000"/>
    <n v="2"/>
    <n v="89000"/>
    <m/>
    <m/>
    <m/>
    <s v="Distinction"/>
    <m/>
  </r>
  <r>
    <s v="Amit Kumar"/>
    <n v="39"/>
    <x v="3"/>
    <n v="67000"/>
    <n v="10"/>
    <n v="45000"/>
    <m/>
    <m/>
    <m/>
    <s v="Average"/>
    <m/>
  </r>
  <r>
    <s v="Pooja Mehta"/>
    <n v="31"/>
    <x v="4"/>
    <n v="49000"/>
    <n v="5"/>
    <n v="12000"/>
    <m/>
    <m/>
    <m/>
    <s v="Poor"/>
    <m/>
  </r>
  <r>
    <s v="Rahul Verma"/>
    <n v="45"/>
    <x v="2"/>
    <n v="92000"/>
    <n v="18"/>
    <n v="0"/>
    <m/>
    <m/>
    <m/>
    <s v="Poor"/>
    <m/>
  </r>
  <r>
    <s v="Ananya Roy"/>
    <n v="29"/>
    <x v="0"/>
    <n v="46000"/>
    <n v="4"/>
    <n v="134000"/>
    <m/>
    <m/>
    <m/>
    <s v="Distinction"/>
    <m/>
  </r>
  <r>
    <s v="Vikram Joshi"/>
    <n v="37"/>
    <x v="1"/>
    <n v="58000"/>
    <n v="8"/>
    <n v="115000"/>
    <m/>
    <m/>
    <m/>
    <s v="Distinction"/>
    <m/>
  </r>
  <r>
    <s v="Sneha Das"/>
    <n v="24"/>
    <x v="4"/>
    <n v="38000"/>
    <n v="1"/>
    <n v="5000"/>
    <m/>
    <m/>
    <m/>
    <s v="Poor"/>
    <m/>
  </r>
  <r>
    <s v="Manish Tiwari"/>
    <n v="33"/>
    <x v="3"/>
    <n v="61000"/>
    <n v="7"/>
    <n v="38000"/>
    <m/>
    <m/>
    <m/>
    <s v="Average"/>
    <m/>
  </r>
  <r>
    <s v="Divya Nair"/>
    <n v="30"/>
    <x v="0"/>
    <n v="48000"/>
    <n v="5"/>
    <n v="142000"/>
    <m/>
    <m/>
    <m/>
    <s v="Distinction"/>
    <m/>
  </r>
  <r>
    <s v="Karan Malhotra"/>
    <n v="42"/>
    <x v="2"/>
    <n v="85000"/>
    <n v="15"/>
    <n v="0"/>
    <m/>
    <m/>
    <m/>
    <s v="Poor"/>
    <m/>
  </r>
  <r>
    <s v="Ritu Sen"/>
    <n v="36"/>
    <x v="1"/>
    <n v="55000"/>
    <n v="9"/>
    <n v="104000"/>
    <m/>
    <m/>
    <m/>
    <s v="Distinction"/>
    <m/>
  </r>
  <r>
    <s v="Alok Pandey"/>
    <n v="27"/>
    <x v="0"/>
    <n v="42000"/>
    <n v="2"/>
    <n v="91000"/>
    <m/>
    <m/>
    <m/>
    <s v="Distinction"/>
    <m/>
  </r>
  <r>
    <s v="Tanvi Kulkarni"/>
    <n v="38"/>
    <x v="3"/>
    <n v="69000"/>
    <n v="11"/>
    <n v="52000"/>
    <m/>
    <m/>
    <m/>
    <s v="Good"/>
    <m/>
  </r>
  <r>
    <s v="Nitin Rao"/>
    <n v="32"/>
    <x v="4"/>
    <n v="50000"/>
    <n v="6"/>
    <n v="15000"/>
    <m/>
    <m/>
    <m/>
    <s v="Poor"/>
    <m/>
  </r>
  <r>
    <s v="Megha Iyer"/>
    <n v="25"/>
    <x v="0"/>
    <n v="39000"/>
    <n v="1"/>
    <n v="78000"/>
    <m/>
    <m/>
    <m/>
    <s v="Distinction"/>
    <m/>
  </r>
  <r>
    <s v="Sandeep Pillai"/>
    <n v="46"/>
    <x v="2"/>
    <n v="95000"/>
    <n v="20"/>
    <n v="0"/>
    <m/>
    <m/>
    <m/>
    <s v="Poor"/>
    <m/>
  </r>
  <r>
    <s v="Kiran Ghosh"/>
    <n v="35"/>
    <x v="1"/>
    <n v="53000"/>
    <n v="7"/>
    <n v="88000"/>
    <m/>
    <m/>
    <m/>
    <s v="Distinction"/>
    <m/>
  </r>
  <r>
    <s v="Swati Deshmukh"/>
    <n v="29"/>
    <x v="3"/>
    <n v="59000"/>
    <n v="4"/>
    <n v="31000"/>
    <m/>
    <m/>
    <m/>
    <s v="Average"/>
    <m/>
  </r>
  <r>
    <s v="Deepak Chopra"/>
    <n v="40"/>
    <x v="0"/>
    <n v="64000"/>
    <n v="14"/>
    <n v="195000"/>
    <m/>
    <m/>
    <m/>
    <s v="Expert"/>
    <m/>
  </r>
  <r>
    <s v="Jyoti Nambiar"/>
    <n v="33"/>
    <x v="4"/>
    <n v="47000"/>
    <n v="7"/>
    <n v="10000"/>
    <m/>
    <m/>
    <m/>
    <s v="Poor"/>
    <m/>
  </r>
  <r>
    <s v="Manoj Kothari"/>
    <n v="44"/>
    <x v="2"/>
    <n v="88000"/>
    <n v="17"/>
    <n v="0"/>
    <m/>
    <m/>
    <m/>
    <s v="Poor"/>
    <m/>
  </r>
  <r>
    <s v="Shalini Menon"/>
    <n v="31"/>
    <x v="0"/>
    <n v="49000"/>
    <n v="5"/>
    <n v="128000"/>
    <m/>
    <m/>
    <m/>
    <s v="Distinction"/>
    <m/>
  </r>
  <r>
    <s v="Varun Bajaj"/>
    <n v="28"/>
    <x v="1"/>
    <n v="44000"/>
    <n v="3"/>
    <n v="76000"/>
    <m/>
    <m/>
    <m/>
    <s v="Distinction"/>
    <m/>
  </r>
  <r>
    <s v="Nidhi Agarwal"/>
    <n v="37"/>
    <x v="3"/>
    <n v="66000"/>
    <n v="9"/>
    <n v="41000"/>
    <m/>
    <m/>
    <m/>
    <s v="Average"/>
    <m/>
  </r>
  <r>
    <s v="Rajeshwari"/>
    <n v="48"/>
    <x v="4"/>
    <n v="72000"/>
    <n v="22"/>
    <n v="18000"/>
    <m/>
    <m/>
    <m/>
    <s v="Poor"/>
    <m/>
  </r>
  <r>
    <s v="Tarun Khanna"/>
    <n v="30"/>
    <x v="0"/>
    <n v="47000"/>
    <n v="4"/>
    <n v="112000"/>
    <m/>
    <m/>
    <m/>
    <s v="Distinction"/>
    <m/>
  </r>
  <r>
    <s v="Bhavna Shah"/>
    <n v="39"/>
    <x v="1"/>
    <n v="60000"/>
    <n v="10"/>
    <n v="125000"/>
    <m/>
    <m/>
    <m/>
    <s v="Distinction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500"/>
  </r>
  <r>
    <x v="1"/>
    <x v="1"/>
    <n v="300"/>
  </r>
  <r>
    <x v="2"/>
    <x v="2"/>
    <n v="700"/>
  </r>
  <r>
    <x v="3"/>
    <x v="0"/>
    <n v="450"/>
  </r>
  <r>
    <x v="0"/>
    <x v="1"/>
    <n v="600"/>
  </r>
  <r>
    <x v="1"/>
    <x v="2"/>
    <n v="800"/>
  </r>
  <r>
    <x v="2"/>
    <x v="0"/>
    <n v="350"/>
  </r>
  <r>
    <x v="3"/>
    <x v="1"/>
    <n v="900"/>
  </r>
  <r>
    <x v="1"/>
    <x v="2"/>
    <n v="500"/>
  </r>
  <r>
    <x v="2"/>
    <x v="0"/>
    <n v="350"/>
  </r>
  <r>
    <x v="3"/>
    <x v="1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022C3-F92A-458B-A488-E883BCABD6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0:V26" firstHeaderRow="1" firstDataRow="1" firstDataCol="1"/>
  <pivotFields count="11"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0D2B7-C492-48B5-85E3-FCDC553CCD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7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4C553-6A64-49CC-B1A2-35399320CC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6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C4008-5019-4D69-BC92-F135AFA369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J14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formats count="10"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0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20">
      <pivotArea dataOnly="0" labelOnly="1" fieldPosition="0">
        <references count="1">
          <reference field="0" count="0"/>
        </references>
      </pivotArea>
    </format>
    <format dxfId="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zoomScale="83" workbookViewId="0">
      <pane ySplit="1" topLeftCell="A2" activePane="bottomLeft" state="frozen"/>
      <selection pane="bottomLeft" activeCell="U26" sqref="U26"/>
    </sheetView>
  </sheetViews>
  <sheetFormatPr defaultRowHeight="14.4" x14ac:dyDescent="0.3"/>
  <cols>
    <col min="1" max="1" width="15.77734375" style="3" bestFit="1" customWidth="1"/>
    <col min="2" max="2" width="6" style="2" bestFit="1" customWidth="1"/>
    <col min="3" max="3" width="16.44140625" bestFit="1" customWidth="1"/>
    <col min="4" max="4" width="8.88671875" style="2" bestFit="1" customWidth="1"/>
    <col min="5" max="5" width="15" style="2" bestFit="1" customWidth="1"/>
    <col min="6" max="6" width="7.88671875" style="2" bestFit="1" customWidth="1"/>
    <col min="7" max="7" width="8.5546875" style="2" bestFit="1" customWidth="1"/>
    <col min="8" max="8" width="10.33203125" style="2" bestFit="1" customWidth="1"/>
    <col min="9" max="9" width="8.44140625" style="2" bestFit="1" customWidth="1"/>
    <col min="10" max="10" width="10.88671875" style="3" customWidth="1"/>
    <col min="11" max="11" width="10.33203125" style="2" bestFit="1" customWidth="1"/>
    <col min="12" max="20" width="8.88671875" style="2"/>
    <col min="21" max="21" width="14.109375" style="2" bestFit="1" customWidth="1"/>
    <col min="22" max="22" width="12.77734375" style="2" bestFit="1" customWidth="1"/>
    <col min="23" max="16384" width="8.88671875" style="2"/>
  </cols>
  <sheetData>
    <row r="1" spans="1:11" s="1" customFormat="1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41</v>
      </c>
    </row>
    <row r="2" spans="1:11" x14ac:dyDescent="0.3">
      <c r="A2" s="3" t="s">
        <v>6</v>
      </c>
      <c r="B2" s="2">
        <v>28</v>
      </c>
      <c r="C2" t="s">
        <v>5</v>
      </c>
      <c r="D2" s="2">
        <v>45000</v>
      </c>
      <c r="E2" s="2">
        <v>3</v>
      </c>
      <c r="F2" s="2">
        <v>120500</v>
      </c>
      <c r="G2" s="2">
        <f>(COUNTA(A2:A31))</f>
        <v>30</v>
      </c>
      <c r="H2" s="2">
        <f>COUNTIF(C2:C31,"Finance")</f>
        <v>5</v>
      </c>
      <c r="I2" s="2">
        <f>SUMIF(C2:C31,"Marketing",D2:D31)</f>
        <v>322000</v>
      </c>
      <c r="J2" s="3" t="str">
        <f>IF(F2&lt;=25000,"Poor",IF(F2&lt;=50000,"Average",IF(F2&lt;=75000,"Good",IF(F2&lt;=150000,"Distinction",IF(F2&gt;150000,"Expert")))))</f>
        <v>Distinction</v>
      </c>
      <c r="K2" s="2">
        <f>COUNTIF(E2:E31,"&lt;8")</f>
        <v>17</v>
      </c>
    </row>
    <row r="3" spans="1:11" x14ac:dyDescent="0.3">
      <c r="A3" s="3" t="s">
        <v>7</v>
      </c>
      <c r="B3" s="2">
        <v>34</v>
      </c>
      <c r="C3" t="s">
        <v>8</v>
      </c>
      <c r="D3" s="2">
        <v>52000</v>
      </c>
      <c r="E3" s="2">
        <v>6</v>
      </c>
      <c r="F3" s="2">
        <v>98000</v>
      </c>
      <c r="J3" s="3" t="str">
        <f t="shared" ref="J3:J31" si="0">IF(F3&lt;=25000,"Poor",IF(F3&lt;=50000,"Average",IF(F3&lt;=75000,"Good",IF(F3&lt;=150000,"Distinction",IF(F3&gt;150000,"Expert")))))</f>
        <v>Distinction</v>
      </c>
    </row>
    <row r="4" spans="1:11" x14ac:dyDescent="0.3">
      <c r="A4" s="3" t="s">
        <v>9</v>
      </c>
      <c r="B4" s="2">
        <v>41</v>
      </c>
      <c r="C4" t="s">
        <v>10</v>
      </c>
      <c r="D4" s="2">
        <v>78000</v>
      </c>
      <c r="E4" s="2">
        <v>12</v>
      </c>
      <c r="F4" s="2">
        <v>0</v>
      </c>
      <c r="J4" s="3" t="str">
        <f t="shared" si="0"/>
        <v>Poor</v>
      </c>
    </row>
    <row r="5" spans="1:11" x14ac:dyDescent="0.3">
      <c r="A5" s="3" t="s">
        <v>11</v>
      </c>
      <c r="B5" s="2">
        <v>26</v>
      </c>
      <c r="C5" t="s">
        <v>5</v>
      </c>
      <c r="D5" s="2">
        <v>41000</v>
      </c>
      <c r="E5" s="2">
        <v>2</v>
      </c>
      <c r="F5" s="2">
        <v>89000</v>
      </c>
      <c r="J5" s="3" t="str">
        <f t="shared" si="0"/>
        <v>Distinction</v>
      </c>
    </row>
    <row r="6" spans="1:11" x14ac:dyDescent="0.3">
      <c r="A6" s="3" t="s">
        <v>12</v>
      </c>
      <c r="B6" s="2">
        <v>39</v>
      </c>
      <c r="C6" t="s">
        <v>13</v>
      </c>
      <c r="D6" s="2">
        <v>67000</v>
      </c>
      <c r="E6" s="2">
        <v>10</v>
      </c>
      <c r="F6" s="2">
        <v>45000</v>
      </c>
      <c r="J6" s="3" t="str">
        <f t="shared" si="0"/>
        <v>Average</v>
      </c>
    </row>
    <row r="7" spans="1:11" x14ac:dyDescent="0.3">
      <c r="A7" s="3" t="s">
        <v>14</v>
      </c>
      <c r="B7" s="2">
        <v>31</v>
      </c>
      <c r="C7" t="s">
        <v>15</v>
      </c>
      <c r="D7" s="2">
        <v>49000</v>
      </c>
      <c r="E7" s="2">
        <v>5</v>
      </c>
      <c r="F7" s="2">
        <v>12000</v>
      </c>
      <c r="J7" s="3" t="str">
        <f t="shared" si="0"/>
        <v>Poor</v>
      </c>
    </row>
    <row r="8" spans="1:11" x14ac:dyDescent="0.3">
      <c r="A8" s="3" t="s">
        <v>16</v>
      </c>
      <c r="B8" s="2">
        <v>45</v>
      </c>
      <c r="C8" t="s">
        <v>10</v>
      </c>
      <c r="D8" s="2">
        <v>92000</v>
      </c>
      <c r="E8" s="2">
        <v>18</v>
      </c>
      <c r="F8" s="2">
        <v>0</v>
      </c>
      <c r="J8" s="3" t="str">
        <f t="shared" si="0"/>
        <v>Poor</v>
      </c>
    </row>
    <row r="9" spans="1:11" x14ac:dyDescent="0.3">
      <c r="A9" s="3" t="s">
        <v>17</v>
      </c>
      <c r="B9" s="2">
        <v>29</v>
      </c>
      <c r="C9" t="s">
        <v>5</v>
      </c>
      <c r="D9" s="2">
        <v>46000</v>
      </c>
      <c r="E9" s="2">
        <v>4</v>
      </c>
      <c r="F9" s="2">
        <v>134000</v>
      </c>
      <c r="J9" s="3" t="str">
        <f t="shared" si="0"/>
        <v>Distinction</v>
      </c>
    </row>
    <row r="10" spans="1:11" x14ac:dyDescent="0.3">
      <c r="A10" s="3" t="s">
        <v>18</v>
      </c>
      <c r="B10" s="2">
        <v>37</v>
      </c>
      <c r="C10" t="s">
        <v>8</v>
      </c>
      <c r="D10" s="2">
        <v>58000</v>
      </c>
      <c r="E10" s="2">
        <v>8</v>
      </c>
      <c r="F10" s="2">
        <v>115000</v>
      </c>
      <c r="J10" s="3" t="str">
        <f t="shared" si="0"/>
        <v>Distinction</v>
      </c>
    </row>
    <row r="11" spans="1:11" x14ac:dyDescent="0.3">
      <c r="A11" s="3" t="s">
        <v>19</v>
      </c>
      <c r="B11" s="2">
        <v>24</v>
      </c>
      <c r="C11" t="s">
        <v>15</v>
      </c>
      <c r="D11" s="2">
        <v>38000</v>
      </c>
      <c r="E11" s="2">
        <v>1</v>
      </c>
      <c r="F11" s="2">
        <v>5000</v>
      </c>
      <c r="J11" s="3" t="str">
        <f t="shared" si="0"/>
        <v>Poor</v>
      </c>
    </row>
    <row r="12" spans="1:11" x14ac:dyDescent="0.3">
      <c r="A12" s="3" t="s">
        <v>20</v>
      </c>
      <c r="B12" s="2">
        <v>33</v>
      </c>
      <c r="C12" t="s">
        <v>13</v>
      </c>
      <c r="D12" s="2">
        <v>61000</v>
      </c>
      <c r="E12" s="2">
        <v>7</v>
      </c>
      <c r="F12" s="2">
        <v>38000</v>
      </c>
      <c r="J12" s="3" t="str">
        <f t="shared" si="0"/>
        <v>Average</v>
      </c>
    </row>
    <row r="13" spans="1:11" x14ac:dyDescent="0.3">
      <c r="A13" s="3" t="s">
        <v>21</v>
      </c>
      <c r="B13" s="2">
        <v>30</v>
      </c>
      <c r="C13" t="s">
        <v>5</v>
      </c>
      <c r="D13" s="2">
        <v>48000</v>
      </c>
      <c r="E13" s="2">
        <v>5</v>
      </c>
      <c r="F13" s="2">
        <v>142000</v>
      </c>
      <c r="J13" s="3" t="str">
        <f t="shared" si="0"/>
        <v>Distinction</v>
      </c>
    </row>
    <row r="14" spans="1:11" x14ac:dyDescent="0.3">
      <c r="A14" s="3" t="s">
        <v>22</v>
      </c>
      <c r="B14" s="2">
        <v>42</v>
      </c>
      <c r="C14" t="s">
        <v>10</v>
      </c>
      <c r="D14" s="2">
        <v>85000</v>
      </c>
      <c r="E14" s="2">
        <v>15</v>
      </c>
      <c r="F14" s="2">
        <v>0</v>
      </c>
      <c r="J14" s="3" t="str">
        <f t="shared" si="0"/>
        <v>Poor</v>
      </c>
    </row>
    <row r="15" spans="1:11" x14ac:dyDescent="0.3">
      <c r="A15" s="3" t="s">
        <v>23</v>
      </c>
      <c r="B15" s="2">
        <v>36</v>
      </c>
      <c r="C15" t="s">
        <v>8</v>
      </c>
      <c r="D15" s="2">
        <v>55000</v>
      </c>
      <c r="E15" s="2">
        <v>9</v>
      </c>
      <c r="F15" s="2">
        <v>104000</v>
      </c>
      <c r="J15" s="3" t="str">
        <f t="shared" si="0"/>
        <v>Distinction</v>
      </c>
    </row>
    <row r="16" spans="1:11" x14ac:dyDescent="0.3">
      <c r="A16" s="3" t="s">
        <v>24</v>
      </c>
      <c r="B16" s="2">
        <v>27</v>
      </c>
      <c r="C16" t="s">
        <v>5</v>
      </c>
      <c r="D16" s="2">
        <v>42000</v>
      </c>
      <c r="E16" s="2">
        <v>2</v>
      </c>
      <c r="F16" s="2">
        <v>91000</v>
      </c>
      <c r="J16" s="3" t="str">
        <f t="shared" si="0"/>
        <v>Distinction</v>
      </c>
    </row>
    <row r="17" spans="1:23" x14ac:dyDescent="0.3">
      <c r="A17" s="3" t="s">
        <v>25</v>
      </c>
      <c r="B17" s="2">
        <v>38</v>
      </c>
      <c r="C17" t="s">
        <v>13</v>
      </c>
      <c r="D17" s="2">
        <v>69000</v>
      </c>
      <c r="E17" s="2">
        <v>11</v>
      </c>
      <c r="F17" s="2">
        <v>52000</v>
      </c>
      <c r="J17" s="3" t="str">
        <f t="shared" si="0"/>
        <v>Good</v>
      </c>
    </row>
    <row r="18" spans="1:23" x14ac:dyDescent="0.3">
      <c r="A18" s="3" t="s">
        <v>26</v>
      </c>
      <c r="B18" s="2">
        <v>32</v>
      </c>
      <c r="C18" t="s">
        <v>15</v>
      </c>
      <c r="D18" s="2">
        <v>50000</v>
      </c>
      <c r="E18" s="2">
        <v>6</v>
      </c>
      <c r="F18" s="2">
        <v>15000</v>
      </c>
      <c r="J18" s="3" t="str">
        <f t="shared" si="0"/>
        <v>Poor</v>
      </c>
    </row>
    <row r="19" spans="1:23" x14ac:dyDescent="0.3">
      <c r="A19" s="3" t="s">
        <v>27</v>
      </c>
      <c r="B19" s="2">
        <v>25</v>
      </c>
      <c r="C19" t="s">
        <v>5</v>
      </c>
      <c r="D19" s="2">
        <v>39000</v>
      </c>
      <c r="E19" s="2">
        <v>1</v>
      </c>
      <c r="F19" s="2">
        <v>78000</v>
      </c>
      <c r="J19" s="3" t="str">
        <f t="shared" si="0"/>
        <v>Distinction</v>
      </c>
    </row>
    <row r="20" spans="1:23" x14ac:dyDescent="0.3">
      <c r="A20" s="3" t="s">
        <v>28</v>
      </c>
      <c r="B20" s="2">
        <v>46</v>
      </c>
      <c r="C20" t="s">
        <v>10</v>
      </c>
      <c r="D20" s="2">
        <v>95000</v>
      </c>
      <c r="E20" s="2">
        <v>20</v>
      </c>
      <c r="F20" s="2">
        <v>0</v>
      </c>
      <c r="J20" s="3" t="str">
        <f t="shared" si="0"/>
        <v>Poor</v>
      </c>
      <c r="U20" s="4" t="s">
        <v>44</v>
      </c>
      <c r="V20" t="s">
        <v>46</v>
      </c>
      <c r="W20"/>
    </row>
    <row r="21" spans="1:23" x14ac:dyDescent="0.3">
      <c r="A21" s="3" t="s">
        <v>29</v>
      </c>
      <c r="B21" s="2">
        <v>35</v>
      </c>
      <c r="C21" t="s">
        <v>8</v>
      </c>
      <c r="D21" s="2">
        <v>53000</v>
      </c>
      <c r="E21" s="2">
        <v>7</v>
      </c>
      <c r="F21" s="2">
        <v>88000</v>
      </c>
      <c r="J21" s="3" t="str">
        <f t="shared" si="0"/>
        <v>Distinction</v>
      </c>
      <c r="U21" s="3" t="s">
        <v>13</v>
      </c>
      <c r="V21">
        <v>322000</v>
      </c>
      <c r="W21"/>
    </row>
    <row r="22" spans="1:23" x14ac:dyDescent="0.3">
      <c r="A22" s="3" t="s">
        <v>30</v>
      </c>
      <c r="B22" s="2">
        <v>29</v>
      </c>
      <c r="C22" t="s">
        <v>13</v>
      </c>
      <c r="D22" s="2">
        <v>59000</v>
      </c>
      <c r="E22" s="2">
        <v>4</v>
      </c>
      <c r="F22" s="2">
        <v>31000</v>
      </c>
      <c r="J22" s="3" t="str">
        <f t="shared" si="0"/>
        <v>Average</v>
      </c>
      <c r="U22" s="3" t="s">
        <v>15</v>
      </c>
      <c r="V22">
        <v>256000</v>
      </c>
      <c r="W22"/>
    </row>
    <row r="23" spans="1:23" x14ac:dyDescent="0.3">
      <c r="A23" s="3" t="s">
        <v>31</v>
      </c>
      <c r="B23" s="2">
        <v>40</v>
      </c>
      <c r="C23" t="s">
        <v>5</v>
      </c>
      <c r="D23" s="2">
        <v>64000</v>
      </c>
      <c r="E23" s="2">
        <v>14</v>
      </c>
      <c r="F23" s="2">
        <v>195000</v>
      </c>
      <c r="J23" s="3" t="str">
        <f t="shared" si="0"/>
        <v>Expert</v>
      </c>
      <c r="U23" s="3" t="s">
        <v>10</v>
      </c>
      <c r="V23">
        <v>438000</v>
      </c>
      <c r="W23"/>
    </row>
    <row r="24" spans="1:23" x14ac:dyDescent="0.3">
      <c r="A24" s="3" t="s">
        <v>32</v>
      </c>
      <c r="B24" s="2">
        <v>33</v>
      </c>
      <c r="C24" t="s">
        <v>15</v>
      </c>
      <c r="D24" s="2">
        <v>47000</v>
      </c>
      <c r="E24" s="2">
        <v>7</v>
      </c>
      <c r="F24" s="2">
        <v>10000</v>
      </c>
      <c r="J24" s="3" t="str">
        <f t="shared" si="0"/>
        <v>Poor</v>
      </c>
      <c r="U24" s="3" t="s">
        <v>8</v>
      </c>
      <c r="V24">
        <v>322000</v>
      </c>
      <c r="W24"/>
    </row>
    <row r="25" spans="1:23" x14ac:dyDescent="0.3">
      <c r="A25" s="3" t="s">
        <v>33</v>
      </c>
      <c r="B25" s="2">
        <v>44</v>
      </c>
      <c r="C25" t="s">
        <v>10</v>
      </c>
      <c r="D25" s="2">
        <v>88000</v>
      </c>
      <c r="E25" s="2">
        <v>17</v>
      </c>
      <c r="F25" s="2">
        <v>0</v>
      </c>
      <c r="J25" s="3" t="str">
        <f t="shared" si="0"/>
        <v>Poor</v>
      </c>
      <c r="U25" s="3" t="s">
        <v>5</v>
      </c>
      <c r="V25">
        <v>421000</v>
      </c>
      <c r="W25"/>
    </row>
    <row r="26" spans="1:23" x14ac:dyDescent="0.3">
      <c r="A26" s="3" t="s">
        <v>34</v>
      </c>
      <c r="B26" s="2">
        <v>31</v>
      </c>
      <c r="C26" t="s">
        <v>5</v>
      </c>
      <c r="D26" s="2">
        <v>49000</v>
      </c>
      <c r="E26" s="2">
        <v>5</v>
      </c>
      <c r="F26" s="2">
        <v>128000</v>
      </c>
      <c r="J26" s="3" t="str">
        <f t="shared" si="0"/>
        <v>Distinction</v>
      </c>
      <c r="U26" s="3" t="s">
        <v>45</v>
      </c>
      <c r="V26">
        <v>1759000</v>
      </c>
      <c r="W26"/>
    </row>
    <row r="27" spans="1:23" x14ac:dyDescent="0.3">
      <c r="A27" s="3" t="s">
        <v>35</v>
      </c>
      <c r="B27" s="2">
        <v>28</v>
      </c>
      <c r="C27" t="s">
        <v>8</v>
      </c>
      <c r="D27" s="2">
        <v>44000</v>
      </c>
      <c r="E27" s="2">
        <v>3</v>
      </c>
      <c r="F27" s="2">
        <v>76000</v>
      </c>
      <c r="J27" s="3" t="str">
        <f t="shared" si="0"/>
        <v>Distinction</v>
      </c>
      <c r="U27"/>
      <c r="V27"/>
      <c r="W27"/>
    </row>
    <row r="28" spans="1:23" x14ac:dyDescent="0.3">
      <c r="A28" s="3" t="s">
        <v>36</v>
      </c>
      <c r="B28" s="2">
        <v>37</v>
      </c>
      <c r="C28" t="s">
        <v>13</v>
      </c>
      <c r="D28" s="2">
        <v>66000</v>
      </c>
      <c r="E28" s="2">
        <v>9</v>
      </c>
      <c r="F28" s="2">
        <v>41000</v>
      </c>
      <c r="J28" s="3" t="str">
        <f t="shared" si="0"/>
        <v>Average</v>
      </c>
      <c r="U28"/>
      <c r="V28"/>
      <c r="W28"/>
    </row>
    <row r="29" spans="1:23" x14ac:dyDescent="0.3">
      <c r="A29" s="3" t="s">
        <v>37</v>
      </c>
      <c r="B29" s="2">
        <v>48</v>
      </c>
      <c r="C29" t="s">
        <v>15</v>
      </c>
      <c r="D29" s="2">
        <v>72000</v>
      </c>
      <c r="E29" s="2">
        <v>22</v>
      </c>
      <c r="F29" s="2">
        <v>18000</v>
      </c>
      <c r="J29" s="3" t="str">
        <f t="shared" si="0"/>
        <v>Poor</v>
      </c>
      <c r="U29"/>
      <c r="V29"/>
      <c r="W29"/>
    </row>
    <row r="30" spans="1:23" x14ac:dyDescent="0.3">
      <c r="A30" s="3" t="s">
        <v>38</v>
      </c>
      <c r="B30" s="2">
        <v>30</v>
      </c>
      <c r="C30" t="s">
        <v>5</v>
      </c>
      <c r="D30" s="2">
        <v>47000</v>
      </c>
      <c r="E30" s="2">
        <v>4</v>
      </c>
      <c r="F30" s="2">
        <v>112000</v>
      </c>
      <c r="J30" s="3" t="str">
        <f t="shared" si="0"/>
        <v>Distinction</v>
      </c>
      <c r="U30"/>
      <c r="V30"/>
      <c r="W30"/>
    </row>
    <row r="31" spans="1:23" x14ac:dyDescent="0.3">
      <c r="A31" s="3" t="s">
        <v>39</v>
      </c>
      <c r="B31" s="2">
        <v>39</v>
      </c>
      <c r="C31" t="s">
        <v>8</v>
      </c>
      <c r="D31" s="2">
        <v>60000</v>
      </c>
      <c r="E31" s="2">
        <v>10</v>
      </c>
      <c r="F31" s="2">
        <v>125000</v>
      </c>
      <c r="J31" s="3" t="str">
        <f t="shared" si="0"/>
        <v>Distinction</v>
      </c>
      <c r="U31"/>
      <c r="V31"/>
      <c r="W31"/>
    </row>
    <row r="32" spans="1:23" x14ac:dyDescent="0.3">
      <c r="U32"/>
      <c r="V32"/>
      <c r="W32"/>
    </row>
    <row r="33" spans="21:23" x14ac:dyDescent="0.3">
      <c r="U33"/>
      <c r="V33"/>
      <c r="W33"/>
    </row>
    <row r="34" spans="21:23" x14ac:dyDescent="0.3">
      <c r="U34"/>
      <c r="V34"/>
      <c r="W34"/>
    </row>
    <row r="35" spans="21:23" x14ac:dyDescent="0.3">
      <c r="U35"/>
      <c r="V35"/>
      <c r="W35"/>
    </row>
    <row r="36" spans="21:23" x14ac:dyDescent="0.3">
      <c r="U36"/>
      <c r="V36"/>
      <c r="W36"/>
    </row>
    <row r="37" spans="21:23" x14ac:dyDescent="0.3">
      <c r="U37"/>
      <c r="V37"/>
      <c r="W3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6C35-5C0F-48C3-9B34-8B5A41D6BD23}">
  <dimension ref="A1:J14"/>
  <sheetViews>
    <sheetView tabSelected="1" workbookViewId="0">
      <selection activeCell="H20" sqref="H20"/>
    </sheetView>
  </sheetViews>
  <sheetFormatPr defaultRowHeight="14.4" x14ac:dyDescent="0.3"/>
  <cols>
    <col min="1" max="1" width="10.5546875" style="2" bestFit="1" customWidth="1"/>
    <col min="2" max="2" width="10.88671875" style="2" bestFit="1" customWidth="1"/>
    <col min="3" max="3" width="7.6640625" style="2" bestFit="1" customWidth="1"/>
    <col min="4" max="4" width="8.88671875" style="2"/>
    <col min="5" max="5" width="12.5546875" style="2" bestFit="1" customWidth="1"/>
    <col min="6" max="6" width="15.5546875" style="2" bestFit="1" customWidth="1"/>
    <col min="7" max="7" width="5.88671875" style="2" bestFit="1" customWidth="1"/>
    <col min="8" max="8" width="10.7773437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5.5546875" style="2" bestFit="1" customWidth="1"/>
    <col min="13" max="13" width="5.88671875" style="2" bestFit="1" customWidth="1"/>
    <col min="14" max="14" width="6" style="2" bestFit="1" customWidth="1"/>
    <col min="15" max="15" width="5.21875" style="2" bestFit="1" customWidth="1"/>
    <col min="16" max="16" width="10.77734375" style="2" bestFit="1" customWidth="1"/>
    <col min="17" max="16384" width="8.88671875" style="2"/>
  </cols>
  <sheetData>
    <row r="1" spans="1:10" ht="21" x14ac:dyDescent="0.4">
      <c r="A1" s="1" t="s">
        <v>47</v>
      </c>
      <c r="B1" s="1" t="s">
        <v>48</v>
      </c>
      <c r="C1" s="1" t="s">
        <v>5</v>
      </c>
    </row>
    <row r="2" spans="1:10" x14ac:dyDescent="0.3">
      <c r="A2" s="2" t="s">
        <v>49</v>
      </c>
      <c r="B2" s="2" t="s">
        <v>50</v>
      </c>
      <c r="C2" s="2">
        <v>500</v>
      </c>
      <c r="E2" s="5" t="s">
        <v>44</v>
      </c>
      <c r="F2" s="2" t="s">
        <v>51</v>
      </c>
      <c r="H2" s="5" t="s">
        <v>44</v>
      </c>
      <c r="I2" s="2" t="s">
        <v>51</v>
      </c>
    </row>
    <row r="3" spans="1:10" x14ac:dyDescent="0.3">
      <c r="A3" s="2" t="s">
        <v>52</v>
      </c>
      <c r="B3" s="2" t="s">
        <v>53</v>
      </c>
      <c r="C3" s="2">
        <v>300</v>
      </c>
      <c r="E3" s="2" t="s">
        <v>54</v>
      </c>
      <c r="F3" s="2">
        <v>1400</v>
      </c>
      <c r="H3" s="2" t="s">
        <v>50</v>
      </c>
      <c r="I3" s="2">
        <v>1650</v>
      </c>
    </row>
    <row r="4" spans="1:10" x14ac:dyDescent="0.3">
      <c r="A4" s="2" t="s">
        <v>54</v>
      </c>
      <c r="B4" s="2" t="s">
        <v>55</v>
      </c>
      <c r="C4" s="2">
        <v>700</v>
      </c>
      <c r="E4" s="2" t="s">
        <v>49</v>
      </c>
      <c r="F4" s="2">
        <v>1100</v>
      </c>
      <c r="H4" s="2" t="s">
        <v>53</v>
      </c>
      <c r="I4" s="2">
        <v>2550</v>
      </c>
    </row>
    <row r="5" spans="1:10" x14ac:dyDescent="0.3">
      <c r="A5" s="2" t="s">
        <v>56</v>
      </c>
      <c r="B5" s="2" t="s">
        <v>50</v>
      </c>
      <c r="C5" s="2">
        <v>450</v>
      </c>
      <c r="E5" s="2" t="s">
        <v>52</v>
      </c>
      <c r="F5" s="2">
        <v>1600</v>
      </c>
      <c r="H5" s="2" t="s">
        <v>55</v>
      </c>
      <c r="I5" s="2">
        <v>2000</v>
      </c>
    </row>
    <row r="6" spans="1:10" x14ac:dyDescent="0.3">
      <c r="A6" s="2" t="s">
        <v>49</v>
      </c>
      <c r="B6" s="2" t="s">
        <v>53</v>
      </c>
      <c r="C6" s="2">
        <v>600</v>
      </c>
      <c r="E6" s="2" t="s">
        <v>56</v>
      </c>
      <c r="F6" s="2">
        <v>2100</v>
      </c>
      <c r="H6" s="2" t="s">
        <v>45</v>
      </c>
      <c r="I6" s="2">
        <v>6200</v>
      </c>
    </row>
    <row r="7" spans="1:10" x14ac:dyDescent="0.3">
      <c r="A7" s="2" t="s">
        <v>52</v>
      </c>
      <c r="B7" s="2" t="s">
        <v>55</v>
      </c>
      <c r="C7" s="2">
        <v>800</v>
      </c>
      <c r="E7" s="2" t="s">
        <v>45</v>
      </c>
      <c r="F7" s="2">
        <v>6200</v>
      </c>
    </row>
    <row r="8" spans="1:10" x14ac:dyDescent="0.3">
      <c r="A8" s="2" t="s">
        <v>54</v>
      </c>
      <c r="B8" s="2" t="s">
        <v>50</v>
      </c>
      <c r="C8" s="2">
        <v>350</v>
      </c>
    </row>
    <row r="9" spans="1:10" x14ac:dyDescent="0.3">
      <c r="A9" s="2" t="s">
        <v>56</v>
      </c>
      <c r="B9" s="2" t="s">
        <v>53</v>
      </c>
      <c r="C9" s="2">
        <v>900</v>
      </c>
      <c r="E9" s="5" t="s">
        <v>51</v>
      </c>
      <c r="F9" s="5" t="s">
        <v>57</v>
      </c>
    </row>
    <row r="10" spans="1:10" x14ac:dyDescent="0.3">
      <c r="A10" s="2" t="s">
        <v>52</v>
      </c>
      <c r="B10" s="2" t="s">
        <v>55</v>
      </c>
      <c r="C10" s="2">
        <v>500</v>
      </c>
      <c r="E10" s="5" t="s">
        <v>44</v>
      </c>
      <c r="F10" s="2" t="s">
        <v>54</v>
      </c>
      <c r="G10" s="2" t="s">
        <v>49</v>
      </c>
      <c r="H10" s="2" t="s">
        <v>52</v>
      </c>
      <c r="I10" s="2" t="s">
        <v>56</v>
      </c>
      <c r="J10" s="2" t="s">
        <v>45</v>
      </c>
    </row>
    <row r="11" spans="1:10" x14ac:dyDescent="0.3">
      <c r="A11" s="2" t="s">
        <v>54</v>
      </c>
      <c r="B11" s="2" t="s">
        <v>50</v>
      </c>
      <c r="C11" s="2">
        <v>350</v>
      </c>
      <c r="E11" s="2" t="s">
        <v>50</v>
      </c>
      <c r="F11" s="2">
        <v>700</v>
      </c>
      <c r="G11" s="2">
        <v>500</v>
      </c>
      <c r="I11" s="2">
        <v>450</v>
      </c>
      <c r="J11" s="2">
        <v>1650</v>
      </c>
    </row>
    <row r="12" spans="1:10" x14ac:dyDescent="0.3">
      <c r="A12" s="2" t="s">
        <v>56</v>
      </c>
      <c r="B12" s="2" t="s">
        <v>53</v>
      </c>
      <c r="C12" s="2">
        <v>750</v>
      </c>
      <c r="E12" s="2" t="s">
        <v>53</v>
      </c>
      <c r="G12" s="2">
        <v>600</v>
      </c>
      <c r="H12" s="2">
        <v>300</v>
      </c>
      <c r="I12" s="2">
        <v>1650</v>
      </c>
      <c r="J12" s="2">
        <v>2550</v>
      </c>
    </row>
    <row r="13" spans="1:10" x14ac:dyDescent="0.3">
      <c r="E13" s="2" t="s">
        <v>55</v>
      </c>
      <c r="F13" s="2">
        <v>700</v>
      </c>
      <c r="H13" s="2">
        <v>1300</v>
      </c>
      <c r="J13" s="2">
        <v>2000</v>
      </c>
    </row>
    <row r="14" spans="1:10" x14ac:dyDescent="0.3">
      <c r="E14" s="2" t="s">
        <v>45</v>
      </c>
      <c r="F14" s="2">
        <v>1400</v>
      </c>
      <c r="G14" s="2">
        <v>1100</v>
      </c>
      <c r="H14" s="2">
        <v>1600</v>
      </c>
      <c r="I14" s="2">
        <v>2100</v>
      </c>
      <c r="J14" s="2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Henish Palsana</dc:creator>
  <cp:lastModifiedBy>Henish Palsana</cp:lastModifiedBy>
  <dcterms:created xsi:type="dcterms:W3CDTF">2015-06-05T18:17:20Z</dcterms:created>
  <dcterms:modified xsi:type="dcterms:W3CDTF">2026-09-09T13:19:01Z</dcterms:modified>
</cp:coreProperties>
</file>